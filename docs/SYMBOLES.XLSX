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ate1904="1" showObjects="none" defaultThemeVersion="124226"/>
  <mc:AlternateContent xmlns:mc="http://schemas.openxmlformats.org/markup-compatibility/2006">
    <mc:Choice Requires="x15">
      <x15ac:absPath xmlns:x15ac="http://schemas.microsoft.com/office/spreadsheetml/2010/11/ac" url="F:\DropBox\Dropbox\00-YC\2Yves\Enseign\1Poly\2e,3eCycle\1-CIV8220ÉpurBiol\A17\2-Notes de cours\1 IntroInfra,Caract,Proc,Réglem\Tableaux, Figures\CaractérisationEU-InflAdv\"/>
    </mc:Choice>
  </mc:AlternateContent>
  <bookViews>
    <workbookView xWindow="0" yWindow="0" windowWidth="25200" windowHeight="11985" tabRatio="875"/>
  </bookViews>
  <sheets>
    <sheet name="SYMBOLES1" sheetId="23" r:id="rId1"/>
    <sheet name="Matières" sheetId="2" r:id="rId2"/>
    <sheet name="DCO;DBO;P;N" sheetId="3" r:id="rId3"/>
    <sheet name="CoeffStoech" sheetId="4" r:id="rId4"/>
    <sheet name="MatSymboles" sheetId="11" r:id="rId5"/>
    <sheet name="MatVal2015" sheetId="21" r:id="rId6"/>
    <sheet name="MatVal2003" sheetId="12" r:id="rId7"/>
    <sheet name="Valeurs" sheetId="7" r:id="rId8"/>
    <sheet name="Symboles" sheetId="8" r:id="rId9"/>
    <sheet name="Liste Symboles" sheetId="9" r:id="rId10"/>
    <sheet name="SymbAlphaBeta" sheetId="10" r:id="rId11"/>
    <sheet name="N-ASM2d" sheetId="20" r:id="rId12"/>
    <sheet name="P-ASM2d" sheetId="18" r:id="rId13"/>
    <sheet name="Pvaleurs" sheetId="5" r:id="rId14"/>
    <sheet name="DCO-ASM2d" sheetId="14" r:id="rId15"/>
  </sheets>
  <definedNames>
    <definedName name="_xlnm.Print_Titles" localSheetId="9">'Liste Symboles'!$5:$5</definedName>
    <definedName name="_xlnm.Print_Titles" localSheetId="10">SymbAlphaBeta!$5:$5</definedName>
    <definedName name="_xlnm.Print_Titles" localSheetId="0">SYMBOLES1!$5:$5</definedName>
    <definedName name="_xlnm.Print_Area" localSheetId="2">'DCO;DBO;P;N'!$A$1:$K$33</definedName>
    <definedName name="_xlnm.Print_Area" localSheetId="9">'Liste Symboles'!$A$1:$J$91</definedName>
    <definedName name="_xlnm.Print_Area" localSheetId="1">Matières!$A$1:$G$26</definedName>
    <definedName name="_xlnm.Print_Area" localSheetId="10">SymbAlphaBeta!$A$1:$H$85</definedName>
  </definedNames>
  <calcPr calcId="162913"/>
</workbook>
</file>

<file path=xl/calcChain.xml><?xml version="1.0" encoding="utf-8"?>
<calcChain xmlns="http://schemas.openxmlformats.org/spreadsheetml/2006/main">
  <c r="B43" i="18" l="1"/>
  <c r="B29" i="20"/>
  <c r="B2" i="10" l="1"/>
  <c r="B2" i="9"/>
  <c r="A33" i="3"/>
  <c r="I14" i="5"/>
</calcChain>
</file>

<file path=xl/sharedStrings.xml><?xml version="1.0" encoding="utf-8"?>
<sst xmlns="http://schemas.openxmlformats.org/spreadsheetml/2006/main" count="2312" uniqueCount="1015">
  <si>
    <t>ÉCOLE POLYTECHNIQUE DE MONTRÉAL</t>
  </si>
  <si>
    <t>Cours CIV6206 - Épuration biologique des eaux usées</t>
  </si>
  <si>
    <t xml:space="preserve">    </t>
  </si>
  <si>
    <t>AGV</t>
  </si>
  <si>
    <t>MES</t>
  </si>
  <si>
    <t>MVES</t>
  </si>
  <si>
    <t>MIES</t>
  </si>
  <si>
    <t>MF</t>
  </si>
  <si>
    <t>MVF</t>
  </si>
  <si>
    <t>MIF</t>
  </si>
  <si>
    <t>CIV6206  Épuration biologique des eaux usées</t>
  </si>
  <si>
    <t>Matières d'un échantillon</t>
  </si>
  <si>
    <t>MES ND</t>
  </si>
  <si>
    <t>MVES ND</t>
  </si>
  <si>
    <t>MIES ND</t>
  </si>
  <si>
    <t>MES D</t>
  </si>
  <si>
    <t>MVES D</t>
  </si>
  <si>
    <t>MVT</t>
  </si>
  <si>
    <t>MT</t>
  </si>
  <si>
    <t>MIES D</t>
  </si>
  <si>
    <t>M SOL</t>
  </si>
  <si>
    <t>MIT</t>
  </si>
  <si>
    <t>M COL</t>
  </si>
  <si>
    <t>Note: pas à l'échelle</t>
  </si>
  <si>
    <t>DThO</t>
  </si>
  <si>
    <t>COT</t>
  </si>
  <si>
    <r>
      <t>DBO</t>
    </r>
    <r>
      <rPr>
        <vertAlign val="subscript"/>
        <sz val="10"/>
        <rFont val="Geneva"/>
      </rPr>
      <t>5</t>
    </r>
    <r>
      <rPr>
        <sz val="10"/>
        <rFont val="Geneva"/>
      </rPr>
      <t xml:space="preserve"> C-PART</t>
    </r>
  </si>
  <si>
    <t>CT</t>
  </si>
  <si>
    <r>
      <t>DBO</t>
    </r>
    <r>
      <rPr>
        <vertAlign val="subscript"/>
        <sz val="10"/>
        <rFont val="Geneva"/>
      </rPr>
      <t>5</t>
    </r>
    <r>
      <rPr>
        <sz val="10"/>
        <rFont val="Geneva"/>
      </rPr>
      <t xml:space="preserve"> C-TOT</t>
    </r>
  </si>
  <si>
    <r>
      <t>DBO</t>
    </r>
    <r>
      <rPr>
        <vertAlign val="subscript"/>
        <sz val="10"/>
        <rFont val="Geneva"/>
      </rPr>
      <t>5</t>
    </r>
    <r>
      <rPr>
        <sz val="10"/>
        <rFont val="Geneva"/>
      </rPr>
      <t xml:space="preserve"> C-FILT</t>
    </r>
  </si>
  <si>
    <t>CIT</t>
  </si>
  <si>
    <t>TD1A  Caractérisation des eaux usées</t>
  </si>
  <si>
    <t>Tableau 2  Validation des données</t>
  </si>
  <si>
    <t>Rapports</t>
  </si>
  <si>
    <t>Valeurs types</t>
  </si>
  <si>
    <t>Calculé</t>
  </si>
  <si>
    <t xml:space="preserve">tot </t>
  </si>
  <si>
    <t>filt</t>
  </si>
  <si>
    <t>tot</t>
  </si>
  <si>
    <t xml:space="preserve">DBO5-c / DBOu-c </t>
  </si>
  <si>
    <t>filt / tot (tous param.)</t>
  </si>
  <si>
    <t xml:space="preserve">DBOu-c / DCO </t>
  </si>
  <si>
    <t>AGV / DBO5-c filt</t>
  </si>
  <si>
    <t>NH4 / NTK (filt ou tot)</t>
  </si>
  <si>
    <t>MVES / MES</t>
  </si>
  <si>
    <t>MES déc / MES</t>
  </si>
  <si>
    <t>Cohérence des résultats:</t>
  </si>
  <si>
    <t>Ratios:</t>
  </si>
  <si>
    <t>DCOpart / MVES</t>
  </si>
  <si>
    <t>NTK part / MVES</t>
  </si>
  <si>
    <t>TP part / MVES</t>
  </si>
  <si>
    <t>tot; filt; part</t>
  </si>
  <si>
    <t>part</t>
  </si>
  <si>
    <t>filt (tot)</t>
  </si>
  <si>
    <t>o-PO4 / Pt (filt ou tot)</t>
  </si>
  <si>
    <t>DBO5-c / DBOu-c</t>
  </si>
  <si>
    <t>AGV/DCO filt</t>
  </si>
  <si>
    <t>(c.f. M&amp;E, 1991)</t>
  </si>
  <si>
    <t>&lt; 1.00;</t>
  </si>
  <si>
    <t>Phosphorus</t>
  </si>
  <si>
    <t>P poly-P</t>
  </si>
  <si>
    <t>Pt p</t>
  </si>
  <si>
    <t>P  ppt p</t>
  </si>
  <si>
    <t>P org p</t>
  </si>
  <si>
    <t xml:space="preserve"> = Pt p - P poly-P - Porg p</t>
  </si>
  <si>
    <t xml:space="preserve"> = P release test with excess NaAc</t>
  </si>
  <si>
    <t xml:space="preserve"> = 2% g P/g VSS</t>
  </si>
  <si>
    <t>P ppt p</t>
  </si>
  <si>
    <t>P org P</t>
  </si>
  <si>
    <t>Plant</t>
  </si>
  <si>
    <t>UBC EBPR</t>
  </si>
  <si>
    <t>Granby</t>
  </si>
  <si>
    <t>CUO</t>
  </si>
  <si>
    <t>% g P/g SS</t>
  </si>
  <si>
    <t>Agropur*</t>
  </si>
  <si>
    <t>Automne 2001</t>
  </si>
  <si>
    <t>Phosphore (mg P/L)</t>
  </si>
  <si>
    <t>Azote (mg N/L)</t>
  </si>
  <si>
    <t>Matière organique (mg DCO/L)</t>
  </si>
  <si>
    <t>Caractérisation d'une eau usée peu concentrée américaine typique</t>
  </si>
  <si>
    <t>DCO (DBO) et matières</t>
  </si>
  <si>
    <t>YC, 02/12/03</t>
  </si>
  <si>
    <t>SII</t>
  </si>
  <si>
    <t>FDS</t>
  </si>
  <si>
    <t>TDS</t>
  </si>
  <si>
    <t>SI</t>
  </si>
  <si>
    <t>SCOD</t>
  </si>
  <si>
    <t>VDS</t>
  </si>
  <si>
    <t>SF</t>
  </si>
  <si>
    <t>SS</t>
  </si>
  <si>
    <t>SBODU</t>
  </si>
  <si>
    <t>SA</t>
  </si>
  <si>
    <t xml:space="preserve"> </t>
  </si>
  <si>
    <t>(SBOD)</t>
  </si>
  <si>
    <t>TS</t>
  </si>
  <si>
    <t>BODU</t>
  </si>
  <si>
    <t>COD</t>
  </si>
  <si>
    <t>VS</t>
  </si>
  <si>
    <t>(BOD)</t>
  </si>
  <si>
    <t>XS</t>
  </si>
  <si>
    <t>XBODU</t>
  </si>
  <si>
    <t>VSS</t>
  </si>
  <si>
    <t>(XBOD)</t>
  </si>
  <si>
    <t>XH</t>
  </si>
  <si>
    <t>TSS</t>
  </si>
  <si>
    <t>XA</t>
  </si>
  <si>
    <t>XCOD</t>
  </si>
  <si>
    <t>XI</t>
  </si>
  <si>
    <t>XII</t>
  </si>
  <si>
    <t>iTSS</t>
  </si>
  <si>
    <t>Notes:</t>
  </si>
  <si>
    <t xml:space="preserve"> : unités DCO dans le cadre (mg DCO/L)</t>
  </si>
  <si>
    <t xml:space="preserve"> : unités DBO dans le cadre (mg DBO/L)</t>
  </si>
  <si>
    <t xml:space="preserve"> : unités matières hors du cadre DCO (mg/L)</t>
  </si>
  <si>
    <t>Définition des symboles</t>
  </si>
  <si>
    <t>Variable</t>
  </si>
  <si>
    <t>Définition anglaise</t>
  </si>
  <si>
    <t>Définition française</t>
  </si>
  <si>
    <t>Symb. français</t>
  </si>
  <si>
    <t>d'état</t>
  </si>
  <si>
    <t>composée</t>
  </si>
  <si>
    <t>Unités</t>
  </si>
  <si>
    <t>Exemple descriptif</t>
  </si>
  <si>
    <t xml:space="preserve">BOD </t>
  </si>
  <si>
    <t>biochemical oxygen demand (5 days)</t>
  </si>
  <si>
    <t>demande biochimique en oxygène à 5 jours</t>
  </si>
  <si>
    <t>DBO</t>
  </si>
  <si>
    <t>x</t>
  </si>
  <si>
    <t>mg O2/L</t>
  </si>
  <si>
    <t>ultimate biochemical oxygen demand</t>
  </si>
  <si>
    <t>demande biochimique en oxygène ultime</t>
  </si>
  <si>
    <t>DBOU</t>
  </si>
  <si>
    <t>chemical oxygen demand</t>
  </si>
  <si>
    <t xml:space="preserve">demande chimique en oxygène </t>
  </si>
  <si>
    <t>DCO</t>
  </si>
  <si>
    <t>mg DCO/L</t>
  </si>
  <si>
    <t>matières dissoutes inertes</t>
  </si>
  <si>
    <t>MDI</t>
  </si>
  <si>
    <t>mg/L</t>
  </si>
  <si>
    <t>ions dissous</t>
  </si>
  <si>
    <t>matières en suspension inertes</t>
  </si>
  <si>
    <t>MESi</t>
  </si>
  <si>
    <t>cations et anions intracellulaires</t>
  </si>
  <si>
    <t>volatile fatty acids</t>
  </si>
  <si>
    <t>acides gras volatils</t>
  </si>
  <si>
    <t>acétate, propionate</t>
  </si>
  <si>
    <t>SBOD</t>
  </si>
  <si>
    <t>soluble biochemical oxygen demand (5 days)</t>
  </si>
  <si>
    <t>demande biochimique en oxygène à 5 jours soluble</t>
  </si>
  <si>
    <t>SDBO</t>
  </si>
  <si>
    <t>soluble biochemical oxygen demand</t>
  </si>
  <si>
    <t>demande biochimique en oxygène ultime soluble</t>
  </si>
  <si>
    <t>SDBOU</t>
  </si>
  <si>
    <t>soluble chemical oxygen demand</t>
  </si>
  <si>
    <t>demande chimique en oxygène soluble</t>
  </si>
  <si>
    <t>SDCO</t>
  </si>
  <si>
    <t>fermentable substrate</t>
  </si>
  <si>
    <t>substrat fermentable</t>
  </si>
  <si>
    <t>sucres, acides aminés, lipides</t>
  </si>
  <si>
    <t>sels inertes solubles</t>
  </si>
  <si>
    <t>readily biodegradable substrate</t>
  </si>
  <si>
    <t>substrat rapidement biodégradable</t>
  </si>
  <si>
    <t>(x)</t>
  </si>
  <si>
    <t xml:space="preserve"> = SA + SF</t>
  </si>
  <si>
    <t>total dissolved solids</t>
  </si>
  <si>
    <t>matières dissoutes totales</t>
  </si>
  <si>
    <t>MDT</t>
  </si>
  <si>
    <t>total suspended solids</t>
  </si>
  <si>
    <t xml:space="preserve">matières en suspension  </t>
  </si>
  <si>
    <t xml:space="preserve">MES </t>
  </si>
  <si>
    <t>volatile dissolved solids</t>
  </si>
  <si>
    <t xml:space="preserve">matières volatiles dissoutes </t>
  </si>
  <si>
    <t>MVD</t>
  </si>
  <si>
    <t xml:space="preserve">VS </t>
  </si>
  <si>
    <t>volatile solids</t>
  </si>
  <si>
    <t>matières volatiles totales</t>
  </si>
  <si>
    <t>volatile suspended solids</t>
  </si>
  <si>
    <t xml:space="preserve">matières volatiles en suspension </t>
  </si>
  <si>
    <t>biomasse autotrophe</t>
  </si>
  <si>
    <t>Nitrobacter, Nitrosomonas</t>
  </si>
  <si>
    <t xml:space="preserve">XBOD </t>
  </si>
  <si>
    <t>particulate biochemical oxygen demand (5 days)</t>
  </si>
  <si>
    <t>demande biochimique en oxygène à 5 jours particulaire</t>
  </si>
  <si>
    <t>XDBO</t>
  </si>
  <si>
    <t>demande biochimique en oxygène ultime particulaire</t>
  </si>
  <si>
    <t>XDBOU</t>
  </si>
  <si>
    <t>particulate chemical oxygen demand</t>
  </si>
  <si>
    <t>demande chimique en oxygène particulaire</t>
  </si>
  <si>
    <t>XDCO</t>
  </si>
  <si>
    <t>biomasse hétérotrophe</t>
  </si>
  <si>
    <t>bactéries, protozoaires</t>
  </si>
  <si>
    <t>inert particulate solids</t>
  </si>
  <si>
    <t>matières inertes particulaires</t>
  </si>
  <si>
    <t>matières humiques (e.g. lignine)</t>
  </si>
  <si>
    <t>sels inertes particulaires</t>
  </si>
  <si>
    <t>slowly biodegradable "particulate" substrate</t>
  </si>
  <si>
    <t>substrat lentement biodégradable "particulaire"</t>
  </si>
  <si>
    <t>débris organiques (e.g. végétaux)</t>
  </si>
  <si>
    <t>Extra:</t>
  </si>
  <si>
    <t>S</t>
  </si>
  <si>
    <t>soluble</t>
  </si>
  <si>
    <t>X</t>
  </si>
  <si>
    <t>particulate</t>
  </si>
  <si>
    <t>particulaire</t>
  </si>
  <si>
    <t>Définitions:</t>
  </si>
  <si>
    <t>matières = solides</t>
  </si>
  <si>
    <t>filtré = soluble</t>
  </si>
  <si>
    <t>substrat = matière organique biodégradable</t>
  </si>
  <si>
    <t>en suspension = particulaire</t>
  </si>
  <si>
    <t>Concentrations en mg/L</t>
  </si>
  <si>
    <t>(SBOD, 35)</t>
  </si>
  <si>
    <t>(BOD, 110)</t>
  </si>
  <si>
    <t>(XBOD, 75)</t>
  </si>
  <si>
    <t>XA (1)</t>
  </si>
  <si>
    <t xml:space="preserve"> : unités DCO dans le cadre</t>
  </si>
  <si>
    <t xml:space="preserve"> : unités DBO dans le cadre</t>
  </si>
  <si>
    <t>CIV6206 Épuration biologique des eaux usées</t>
  </si>
  <si>
    <t>DBO ultime particulaire</t>
  </si>
  <si>
    <t>DBO à 5 jours particulaire</t>
  </si>
  <si>
    <t>DBO à 5 jours soluble</t>
  </si>
  <si>
    <t>DBO ultime soluble</t>
  </si>
  <si>
    <t>bsCOD</t>
  </si>
  <si>
    <t>bpCOD</t>
  </si>
  <si>
    <t>sBOD</t>
  </si>
  <si>
    <t>pBOD</t>
  </si>
  <si>
    <t>sCOD</t>
  </si>
  <si>
    <t>pCOD</t>
  </si>
  <si>
    <t>bCOD</t>
  </si>
  <si>
    <t>rbCOD</t>
  </si>
  <si>
    <t>sbCOD</t>
  </si>
  <si>
    <t>slbCOD</t>
  </si>
  <si>
    <t>nbsCOD</t>
  </si>
  <si>
    <t>sCODe</t>
  </si>
  <si>
    <t>nbpCOD</t>
  </si>
  <si>
    <t>bVSS</t>
  </si>
  <si>
    <t>nbVSS</t>
  </si>
  <si>
    <t>Symbole anglais</t>
  </si>
  <si>
    <t>Symbole français</t>
  </si>
  <si>
    <t>nbCOD</t>
  </si>
  <si>
    <t>M&amp;E2003</t>
  </si>
  <si>
    <t>XBOD</t>
  </si>
  <si>
    <t>Symboles</t>
  </si>
  <si>
    <t>si</t>
  </si>
  <si>
    <t>ss</t>
  </si>
  <si>
    <t>Source</t>
  </si>
  <si>
    <t>YC-CIV6206</t>
  </si>
  <si>
    <t>xi</t>
  </si>
  <si>
    <t>xs</t>
  </si>
  <si>
    <t>so</t>
  </si>
  <si>
    <t>sno</t>
  </si>
  <si>
    <t>snh</t>
  </si>
  <si>
    <t>xbp</t>
  </si>
  <si>
    <t>xpp</t>
  </si>
  <si>
    <t>slf</t>
  </si>
  <si>
    <t>sp</t>
  </si>
  <si>
    <t>salk</t>
  </si>
  <si>
    <t>snn</t>
  </si>
  <si>
    <t>sf</t>
  </si>
  <si>
    <t>xmeoh</t>
  </si>
  <si>
    <t>xmep</t>
  </si>
  <si>
    <t>xsto</t>
  </si>
  <si>
    <t>XAUT</t>
  </si>
  <si>
    <t>SO2</t>
  </si>
  <si>
    <t>SNO3</t>
  </si>
  <si>
    <t>SNH4</t>
  </si>
  <si>
    <t>ASM 2d</t>
  </si>
  <si>
    <t>xbh</t>
  </si>
  <si>
    <t>xba</t>
  </si>
  <si>
    <t>XPAO</t>
  </si>
  <si>
    <t>XPHA</t>
  </si>
  <si>
    <t>XPP</t>
  </si>
  <si>
    <t>SPO4</t>
  </si>
  <si>
    <t>SALK</t>
  </si>
  <si>
    <t>SN2</t>
  </si>
  <si>
    <t>XMeOH</t>
  </si>
  <si>
    <t>XFeP</t>
  </si>
  <si>
    <t>XSTO</t>
  </si>
  <si>
    <t>GPS-X;CNP</t>
  </si>
  <si>
    <t>Soluble inert organics</t>
  </si>
  <si>
    <t>Readily biodegradable (soluble) substrate</t>
  </si>
  <si>
    <t>Particulate inert organics</t>
  </si>
  <si>
    <t>Slowly biodegr. (stored, particulate) substrate</t>
  </si>
  <si>
    <t>Active heterotrophic biomass</t>
  </si>
  <si>
    <t>Active autotrophic biomass</t>
  </si>
  <si>
    <t>Dissolved oxygen</t>
  </si>
  <si>
    <t>Nitrate and nitrite</t>
  </si>
  <si>
    <t>Free and ionized ammonia</t>
  </si>
  <si>
    <t>Polyphosphates accumulating organisms</t>
  </si>
  <si>
    <t>Poly-hydroxyalcanoates (PHA)</t>
  </si>
  <si>
    <t>Stored polyphosphates</t>
  </si>
  <si>
    <t>Volatile fatty acids</t>
  </si>
  <si>
    <t>Soluble phosphorus</t>
  </si>
  <si>
    <t>Alkalinity</t>
  </si>
  <si>
    <t>Dinitrogen</t>
  </si>
  <si>
    <t>Fermentable readily biodegradable substrate</t>
  </si>
  <si>
    <t>Metal hydroxides</t>
  </si>
  <si>
    <t>Metal phosphate</t>
  </si>
  <si>
    <t>Cell internal storage products</t>
  </si>
  <si>
    <t>No.</t>
  </si>
  <si>
    <t>xbt</t>
  </si>
  <si>
    <t>mg COD/L</t>
  </si>
  <si>
    <t>Biochemical oxygen demand (5 days)</t>
  </si>
  <si>
    <t>Ultimate biochemical oxygen demand</t>
  </si>
  <si>
    <t>Chemical oxygen demand</t>
  </si>
  <si>
    <t>Fixed dissolved solids (=SII)</t>
  </si>
  <si>
    <t>Inert total suspended solids (=XII)</t>
  </si>
  <si>
    <t>Fermentable substrate</t>
  </si>
  <si>
    <t>Soluble inert salts (= FDS)</t>
  </si>
  <si>
    <t>Readily biodegradable substrate</t>
  </si>
  <si>
    <t>Total dissolved solids</t>
  </si>
  <si>
    <t>Total suspended solids</t>
  </si>
  <si>
    <t>Volatile dissolved solids</t>
  </si>
  <si>
    <t>Volatile solids</t>
  </si>
  <si>
    <t>Volatile suspended solids</t>
  </si>
  <si>
    <t xml:space="preserve">Autotrophic biomass </t>
  </si>
  <si>
    <t>Heterotrophic biomass</t>
  </si>
  <si>
    <t>Inert particulate solids</t>
  </si>
  <si>
    <t>Inert particulate salts (= iTSS)</t>
  </si>
  <si>
    <t>Slowly biodegradable "particulate" substrate</t>
  </si>
  <si>
    <t>substrat lentement biodégrad. "particulaire"</t>
  </si>
  <si>
    <t>Particulate BOD (5 days)</t>
  </si>
  <si>
    <t>mg N/L</t>
  </si>
  <si>
    <t>mg P/L</t>
  </si>
  <si>
    <t>meq/L</t>
  </si>
  <si>
    <t>Soluble BOD (5 days)</t>
  </si>
  <si>
    <t>Soluble COD</t>
  </si>
  <si>
    <t>particulate biochemical oxygen demand</t>
  </si>
  <si>
    <t>Particulate ultimate BOD</t>
  </si>
  <si>
    <t>Particulate COD</t>
  </si>
  <si>
    <t>Biodegradable soluble COD</t>
  </si>
  <si>
    <t>Biodegradable particulate COD</t>
  </si>
  <si>
    <t>Soluble BOD</t>
  </si>
  <si>
    <t>Particulate BOD</t>
  </si>
  <si>
    <t>Soluble COD of the effluent</t>
  </si>
  <si>
    <t>Biodegradable COD</t>
  </si>
  <si>
    <t>Non biodegradable COD</t>
  </si>
  <si>
    <t>Rapidly biodegradable COD</t>
  </si>
  <si>
    <t>Slowly biodegradable COD</t>
  </si>
  <si>
    <t>Non biodegradable soluble COD</t>
  </si>
  <si>
    <t>Non biodegradable particulate COD</t>
  </si>
  <si>
    <t>Biodegradable VSS</t>
  </si>
  <si>
    <t>Non biodegradable VSS</t>
  </si>
  <si>
    <t>Var. état vs ASM2d</t>
  </si>
  <si>
    <t>Var. compos. vs ASM2d</t>
  </si>
  <si>
    <t>Symb. équiv.</t>
  </si>
  <si>
    <t>(SI + XI)</t>
  </si>
  <si>
    <t>(SA + SF)</t>
  </si>
  <si>
    <t>fx(XCOD-XI)</t>
  </si>
  <si>
    <t>fx(XI)</t>
  </si>
  <si>
    <t>~ SBODU * 1.1</t>
  </si>
  <si>
    <t>~ XBODU * 1.1</t>
  </si>
  <si>
    <t>~ BODU * 1.1</t>
  </si>
  <si>
    <t>ASM2d Fractionnement DCO</t>
  </si>
  <si>
    <t>CIV6206 Modélisation</t>
  </si>
  <si>
    <t>Xs</t>
  </si>
  <si>
    <t>ASM2d</t>
  </si>
  <si>
    <t>Symboles ASM2d et GPS-X</t>
  </si>
  <si>
    <t>Références: ASM2d (IWA, 2000); GPS-X (Hydromantis, 2003. Technical Reference)</t>
  </si>
  <si>
    <t>GPS-X</t>
  </si>
  <si>
    <t>Si</t>
  </si>
  <si>
    <t>Sf</t>
  </si>
  <si>
    <t>Sa</t>
  </si>
  <si>
    <t>Xh</t>
  </si>
  <si>
    <t>Xi</t>
  </si>
  <si>
    <t>Slf</t>
  </si>
  <si>
    <t>Xbh</t>
  </si>
  <si>
    <t>Xba</t>
  </si>
  <si>
    <t>Xbp</t>
  </si>
  <si>
    <t>Xbt</t>
  </si>
  <si>
    <t>Xaut</t>
  </si>
  <si>
    <t>Xpao</t>
  </si>
  <si>
    <t>Xpha</t>
  </si>
  <si>
    <t>Particulaire non biodégradable</t>
  </si>
  <si>
    <t>Soluble non biodégradable</t>
  </si>
  <si>
    <t>Définition (DCO; matière organique)</t>
  </si>
  <si>
    <t>Soluble fermentable</t>
  </si>
  <si>
    <t>Soluble acides gras volatils</t>
  </si>
  <si>
    <t>Particulaire lentement biodégradable</t>
  </si>
  <si>
    <t>Biomasse hétérotrophe</t>
  </si>
  <si>
    <t>Biomasse déphosphatante</t>
  </si>
  <si>
    <t>Particulaire, stockage intracellulaire de PHA et glycogène</t>
  </si>
  <si>
    <t>Biomasse autotrophe (nitrifiantes)</t>
  </si>
  <si>
    <t>total solids</t>
  </si>
  <si>
    <t>matières totales</t>
  </si>
  <si>
    <t>D</t>
  </si>
  <si>
    <t>décantable</t>
  </si>
  <si>
    <t>matières dissoutes (filtrables) totales</t>
  </si>
  <si>
    <t>MDT (MF)</t>
  </si>
  <si>
    <t>MVD (MVF)</t>
  </si>
  <si>
    <t>matières volatiles dissoutes (filtrables)</t>
  </si>
  <si>
    <t>ND</t>
  </si>
  <si>
    <t>non décantable</t>
  </si>
  <si>
    <t>settleable</t>
  </si>
  <si>
    <t>non settleable</t>
  </si>
  <si>
    <t>V</t>
  </si>
  <si>
    <t>I</t>
  </si>
  <si>
    <t>volatile</t>
  </si>
  <si>
    <t>inert (inorganic)</t>
  </si>
  <si>
    <t>inerte (inorganique)</t>
  </si>
  <si>
    <t>(TP)</t>
  </si>
  <si>
    <r>
      <t>TOT</t>
    </r>
    <r>
      <rPr>
        <vertAlign val="subscript"/>
        <sz val="10"/>
        <rFont val="Geneva"/>
      </rPr>
      <t>P</t>
    </r>
  </si>
  <si>
    <r>
      <t>X</t>
    </r>
    <r>
      <rPr>
        <vertAlign val="subscript"/>
        <sz val="10"/>
        <rFont val="Geneva"/>
      </rPr>
      <t>P</t>
    </r>
  </si>
  <si>
    <r>
      <t>C</t>
    </r>
    <r>
      <rPr>
        <vertAlign val="subscript"/>
        <sz val="10"/>
        <rFont val="Geneva"/>
      </rPr>
      <t>P</t>
    </r>
  </si>
  <si>
    <r>
      <t>S</t>
    </r>
    <r>
      <rPr>
        <vertAlign val="subscript"/>
        <sz val="10"/>
        <rFont val="Geneva"/>
      </rPr>
      <t>P</t>
    </r>
  </si>
  <si>
    <r>
      <t>C</t>
    </r>
    <r>
      <rPr>
        <vertAlign val="subscript"/>
        <sz val="10"/>
        <rFont val="Geneva"/>
      </rPr>
      <t>P,org</t>
    </r>
  </si>
  <si>
    <r>
      <t>X</t>
    </r>
    <r>
      <rPr>
        <vertAlign val="subscript"/>
        <sz val="10"/>
        <rFont val="Geneva"/>
      </rPr>
      <t>PP (poly-P)</t>
    </r>
  </si>
  <si>
    <r>
      <t>X</t>
    </r>
    <r>
      <rPr>
        <vertAlign val="subscript"/>
        <sz val="10"/>
        <rFont val="Geneva"/>
      </rPr>
      <t>P,pre</t>
    </r>
  </si>
  <si>
    <r>
      <t>X</t>
    </r>
    <r>
      <rPr>
        <vertAlign val="subscript"/>
        <sz val="10"/>
        <rFont val="Geneva"/>
      </rPr>
      <t>P,org</t>
    </r>
  </si>
  <si>
    <r>
      <t>C</t>
    </r>
    <r>
      <rPr>
        <vertAlign val="subscript"/>
        <sz val="10"/>
        <rFont val="Geneva"/>
      </rPr>
      <t>P,pre</t>
    </r>
  </si>
  <si>
    <t>(TN)</t>
  </si>
  <si>
    <r>
      <t>TOT</t>
    </r>
    <r>
      <rPr>
        <vertAlign val="subscript"/>
        <sz val="10"/>
        <rFont val="Geneva"/>
      </rPr>
      <t>N</t>
    </r>
  </si>
  <si>
    <r>
      <t>TOT</t>
    </r>
    <r>
      <rPr>
        <vertAlign val="subscript"/>
        <sz val="10"/>
        <rFont val="Geneva"/>
      </rPr>
      <t>TKN</t>
    </r>
  </si>
  <si>
    <r>
      <t>(NO</t>
    </r>
    <r>
      <rPr>
        <vertAlign val="subscript"/>
        <sz val="10"/>
        <rFont val="Geneva"/>
      </rPr>
      <t>2</t>
    </r>
    <r>
      <rPr>
        <sz val="10"/>
        <rFont val="Geneva"/>
      </rPr>
      <t>-NO</t>
    </r>
    <r>
      <rPr>
        <vertAlign val="subscript"/>
        <sz val="10"/>
        <rFont val="Geneva"/>
      </rPr>
      <t>3)</t>
    </r>
  </si>
  <si>
    <r>
      <t>S</t>
    </r>
    <r>
      <rPr>
        <vertAlign val="subscript"/>
        <sz val="10"/>
        <rFont val="Geneva"/>
      </rPr>
      <t>NOX</t>
    </r>
  </si>
  <si>
    <r>
      <t>X</t>
    </r>
    <r>
      <rPr>
        <vertAlign val="subscript"/>
        <sz val="10"/>
        <rFont val="Geneva"/>
      </rPr>
      <t>TKN</t>
    </r>
  </si>
  <si>
    <r>
      <t>C</t>
    </r>
    <r>
      <rPr>
        <vertAlign val="subscript"/>
        <sz val="10"/>
        <rFont val="Geneva"/>
      </rPr>
      <t>TKN</t>
    </r>
  </si>
  <si>
    <r>
      <t>S</t>
    </r>
    <r>
      <rPr>
        <vertAlign val="subscript"/>
        <sz val="10"/>
        <rFont val="Geneva"/>
      </rPr>
      <t>NH4</t>
    </r>
  </si>
  <si>
    <t>CIV8220  Épuration biologique des eaux usées</t>
  </si>
  <si>
    <t>(TKN)</t>
  </si>
  <si>
    <r>
      <t>(S</t>
    </r>
    <r>
      <rPr>
        <vertAlign val="subscript"/>
        <sz val="10"/>
        <rFont val="Geneva"/>
      </rPr>
      <t>PO4</t>
    </r>
    <r>
      <rPr>
        <sz val="10"/>
        <rFont val="Geneva"/>
      </rPr>
      <t>; o-PO</t>
    </r>
    <r>
      <rPr>
        <vertAlign val="subscript"/>
        <sz val="10"/>
        <rFont val="Geneva"/>
      </rPr>
      <t>4</t>
    </r>
    <r>
      <rPr>
        <sz val="10"/>
        <rFont val="Geneva"/>
      </rPr>
      <t xml:space="preserve"> FILT)</t>
    </r>
  </si>
  <si>
    <r>
      <t>TOT</t>
    </r>
    <r>
      <rPr>
        <vertAlign val="subscript"/>
        <sz val="10"/>
        <rFont val="Geneva"/>
      </rPr>
      <t>P</t>
    </r>
    <r>
      <rPr>
        <sz val="10"/>
        <rFont val="Geneva"/>
      </rPr>
      <t xml:space="preserve">                     (Ptot)</t>
    </r>
  </si>
  <si>
    <r>
      <t>X</t>
    </r>
    <r>
      <rPr>
        <vertAlign val="subscript"/>
        <sz val="10"/>
        <rFont val="Geneva"/>
      </rPr>
      <t>P,ppt</t>
    </r>
  </si>
  <si>
    <r>
      <t>S</t>
    </r>
    <r>
      <rPr>
        <vertAlign val="subscript"/>
        <sz val="10"/>
        <rFont val="Geneva"/>
      </rPr>
      <t>P,ppt</t>
    </r>
  </si>
  <si>
    <r>
      <t>S</t>
    </r>
    <r>
      <rPr>
        <vertAlign val="subscript"/>
        <sz val="10"/>
        <rFont val="Geneva"/>
      </rPr>
      <t>P,org</t>
    </r>
  </si>
  <si>
    <r>
      <t>S</t>
    </r>
    <r>
      <rPr>
        <vertAlign val="subscript"/>
        <sz val="10"/>
        <rFont val="Geneva"/>
      </rPr>
      <t>P,col</t>
    </r>
  </si>
  <si>
    <r>
      <t>S</t>
    </r>
    <r>
      <rPr>
        <vertAlign val="subscript"/>
        <sz val="10"/>
        <rFont val="Geneva"/>
      </rPr>
      <t xml:space="preserve">P,o-PO4 </t>
    </r>
    <r>
      <rPr>
        <sz val="10"/>
        <rFont val="Geneva"/>
      </rPr>
      <t xml:space="preserve">                      (o-PO</t>
    </r>
    <r>
      <rPr>
        <vertAlign val="subscript"/>
        <sz val="10"/>
        <rFont val="Geneva"/>
      </rPr>
      <t>4</t>
    </r>
    <r>
      <rPr>
        <sz val="10"/>
        <rFont val="Geneva"/>
      </rPr>
      <t>)</t>
    </r>
  </si>
  <si>
    <t>CIV8220</t>
  </si>
  <si>
    <t>CIV4230</t>
  </si>
  <si>
    <r>
      <t>S</t>
    </r>
    <r>
      <rPr>
        <vertAlign val="subscript"/>
        <sz val="10"/>
        <rFont val="Geneva"/>
      </rPr>
      <t>TKN</t>
    </r>
  </si>
  <si>
    <r>
      <t>S</t>
    </r>
    <r>
      <rPr>
        <vertAlign val="subscript"/>
        <sz val="10"/>
        <rFont val="Geneva"/>
      </rPr>
      <t>Norg</t>
    </r>
  </si>
  <si>
    <t>iTSS (ISS)</t>
  </si>
  <si>
    <t>Symb. suggéré</t>
  </si>
  <si>
    <t>matières dissoutes inorganiques</t>
  </si>
  <si>
    <t>inert (inorganic) total suspended solids (=XII)</t>
  </si>
  <si>
    <t>fixed (inorganic) dissolved solids (=SII)</t>
  </si>
  <si>
    <t>soluble inert (inorganic) salts (= FDS)</t>
  </si>
  <si>
    <t>sels inorganiques solubles</t>
  </si>
  <si>
    <t xml:space="preserve">TS </t>
  </si>
  <si>
    <t>biomasse autotrophe (nitrifiante)</t>
  </si>
  <si>
    <t xml:space="preserve">autotrophic (NH4 nitrifying org.) biomass </t>
  </si>
  <si>
    <t>(ordinary) heterotrophic (organisms) biomass</t>
  </si>
  <si>
    <t>biomasse (organismes) hétérotrophe ordinaire</t>
  </si>
  <si>
    <t>inert particulate salts (= iTSS; ISS)</t>
  </si>
  <si>
    <r>
      <t>(T</t>
    </r>
    <r>
      <rPr>
        <vertAlign val="subscript"/>
        <sz val="10"/>
        <rFont val="Arial"/>
        <family val="2"/>
      </rPr>
      <t>BOD</t>
    </r>
    <r>
      <rPr>
        <sz val="10"/>
        <rFont val="Arial"/>
        <family val="2"/>
      </rPr>
      <t>)</t>
    </r>
  </si>
  <si>
    <r>
      <t>(T</t>
    </r>
    <r>
      <rPr>
        <vertAlign val="subscript"/>
        <sz val="10"/>
        <rFont val="Geneva"/>
      </rPr>
      <t>BDOU</t>
    </r>
    <r>
      <rPr>
        <sz val="10"/>
        <rFont val="Geneva"/>
      </rPr>
      <t>)</t>
    </r>
  </si>
  <si>
    <r>
      <t>(T</t>
    </r>
    <r>
      <rPr>
        <vertAlign val="subscript"/>
        <sz val="10"/>
        <rFont val="Geneva"/>
      </rPr>
      <t>COD</t>
    </r>
    <r>
      <rPr>
        <sz val="10"/>
        <rFont val="Geneva"/>
      </rPr>
      <t>)</t>
    </r>
  </si>
  <si>
    <r>
      <t>S</t>
    </r>
    <r>
      <rPr>
        <vertAlign val="subscript"/>
        <sz val="10"/>
        <rFont val="Geneva"/>
      </rPr>
      <t>Ig</t>
    </r>
  </si>
  <si>
    <r>
      <t>X</t>
    </r>
    <r>
      <rPr>
        <vertAlign val="subscript"/>
        <sz val="10"/>
        <rFont val="Geneva"/>
      </rPr>
      <t>Ig</t>
    </r>
  </si>
  <si>
    <r>
      <t>S</t>
    </r>
    <r>
      <rPr>
        <vertAlign val="subscript"/>
        <sz val="10"/>
        <rFont val="Geneva"/>
      </rPr>
      <t>VFA</t>
    </r>
  </si>
  <si>
    <r>
      <t>S</t>
    </r>
    <r>
      <rPr>
        <vertAlign val="subscript"/>
        <sz val="10"/>
        <rFont val="Geneva"/>
      </rPr>
      <t>BOD</t>
    </r>
  </si>
  <si>
    <r>
      <t>S</t>
    </r>
    <r>
      <rPr>
        <vertAlign val="subscript"/>
        <sz val="10"/>
        <rFont val="Geneva"/>
      </rPr>
      <t>BODU</t>
    </r>
  </si>
  <si>
    <r>
      <t>S</t>
    </r>
    <r>
      <rPr>
        <vertAlign val="subscript"/>
        <sz val="10"/>
        <rFont val="Geneva"/>
      </rPr>
      <t>COD</t>
    </r>
  </si>
  <si>
    <r>
      <t>S</t>
    </r>
    <r>
      <rPr>
        <vertAlign val="subscript"/>
        <sz val="10"/>
        <rFont val="Geneva"/>
      </rPr>
      <t>F</t>
    </r>
  </si>
  <si>
    <r>
      <t>S</t>
    </r>
    <r>
      <rPr>
        <vertAlign val="subscript"/>
        <sz val="10"/>
        <rFont val="Geneva"/>
      </rPr>
      <t>B</t>
    </r>
  </si>
  <si>
    <r>
      <t>SC</t>
    </r>
    <r>
      <rPr>
        <vertAlign val="subscript"/>
        <sz val="10"/>
        <rFont val="Geneva"/>
      </rPr>
      <t>solids</t>
    </r>
  </si>
  <si>
    <r>
      <t>(T</t>
    </r>
    <r>
      <rPr>
        <vertAlign val="subscript"/>
        <sz val="10"/>
        <rFont val="Geneva"/>
      </rPr>
      <t>solids</t>
    </r>
    <r>
      <rPr>
        <sz val="10"/>
        <rFont val="Geneva"/>
      </rPr>
      <t>)</t>
    </r>
  </si>
  <si>
    <r>
      <t>X</t>
    </r>
    <r>
      <rPr>
        <vertAlign val="subscript"/>
        <sz val="10"/>
        <rFont val="Geneva"/>
      </rPr>
      <t>TSS</t>
    </r>
  </si>
  <si>
    <r>
      <t>CS</t>
    </r>
    <r>
      <rPr>
        <vertAlign val="subscript"/>
        <sz val="10"/>
        <rFont val="Geneva"/>
      </rPr>
      <t>Org</t>
    </r>
  </si>
  <si>
    <r>
      <t>(T</t>
    </r>
    <r>
      <rPr>
        <vertAlign val="subscript"/>
        <sz val="10"/>
        <rFont val="Geneva"/>
      </rPr>
      <t>Org</t>
    </r>
    <r>
      <rPr>
        <sz val="10"/>
        <rFont val="Geneva"/>
      </rPr>
      <t>)</t>
    </r>
  </si>
  <si>
    <r>
      <t>X</t>
    </r>
    <r>
      <rPr>
        <vertAlign val="subscript"/>
        <sz val="10"/>
        <rFont val="Geneva"/>
      </rPr>
      <t>VSS</t>
    </r>
  </si>
  <si>
    <r>
      <t>X</t>
    </r>
    <r>
      <rPr>
        <vertAlign val="subscript"/>
        <sz val="10"/>
        <rFont val="Geneva"/>
      </rPr>
      <t>ANO</t>
    </r>
  </si>
  <si>
    <r>
      <t>X</t>
    </r>
    <r>
      <rPr>
        <vertAlign val="subscript"/>
        <sz val="10"/>
        <rFont val="Geneva"/>
      </rPr>
      <t>BOD</t>
    </r>
  </si>
  <si>
    <r>
      <t>X</t>
    </r>
    <r>
      <rPr>
        <vertAlign val="subscript"/>
        <sz val="10"/>
        <rFont val="Geneva"/>
      </rPr>
      <t>BODU</t>
    </r>
  </si>
  <si>
    <r>
      <t>X</t>
    </r>
    <r>
      <rPr>
        <vertAlign val="subscript"/>
        <sz val="10"/>
        <rFont val="Geneva"/>
      </rPr>
      <t>COD</t>
    </r>
  </si>
  <si>
    <r>
      <t>X</t>
    </r>
    <r>
      <rPr>
        <vertAlign val="subscript"/>
        <sz val="10"/>
        <rFont val="Geneva"/>
      </rPr>
      <t>OHO</t>
    </r>
  </si>
  <si>
    <r>
      <t>X</t>
    </r>
    <r>
      <rPr>
        <vertAlign val="subscript"/>
        <sz val="10"/>
        <rFont val="Geneva"/>
      </rPr>
      <t>U</t>
    </r>
  </si>
  <si>
    <r>
      <t>X</t>
    </r>
    <r>
      <rPr>
        <vertAlign val="subscript"/>
        <sz val="10"/>
        <rFont val="Geneva"/>
      </rPr>
      <t>B</t>
    </r>
    <r>
      <rPr>
        <sz val="10"/>
        <rFont val="Geneva"/>
      </rPr>
      <t xml:space="preserve"> (ou XC</t>
    </r>
    <r>
      <rPr>
        <vertAlign val="subscript"/>
        <sz val="10"/>
        <rFont val="Geneva"/>
      </rPr>
      <t>B</t>
    </r>
    <r>
      <rPr>
        <sz val="10"/>
        <rFont val="Geneva"/>
      </rPr>
      <t>)</t>
    </r>
  </si>
  <si>
    <r>
      <t>BOD</t>
    </r>
    <r>
      <rPr>
        <vertAlign val="subscript"/>
        <sz val="10"/>
        <rFont val="Geneva"/>
      </rPr>
      <t>U</t>
    </r>
  </si>
  <si>
    <r>
      <t>S</t>
    </r>
    <r>
      <rPr>
        <vertAlign val="subscript"/>
        <sz val="10"/>
        <rFont val="Geneva"/>
      </rPr>
      <t>A</t>
    </r>
  </si>
  <si>
    <r>
      <t>S</t>
    </r>
    <r>
      <rPr>
        <vertAlign val="subscript"/>
        <sz val="10"/>
        <rFont val="Geneva"/>
      </rPr>
      <t>II</t>
    </r>
  </si>
  <si>
    <r>
      <t>S</t>
    </r>
    <r>
      <rPr>
        <vertAlign val="subscript"/>
        <sz val="10"/>
        <rFont val="Geneva"/>
      </rPr>
      <t>S</t>
    </r>
  </si>
  <si>
    <r>
      <t>X</t>
    </r>
    <r>
      <rPr>
        <vertAlign val="subscript"/>
        <sz val="10"/>
        <rFont val="Geneva"/>
      </rPr>
      <t>A</t>
    </r>
  </si>
  <si>
    <r>
      <t>X</t>
    </r>
    <r>
      <rPr>
        <vertAlign val="subscript"/>
        <sz val="10"/>
        <rFont val="Geneva"/>
      </rPr>
      <t>BOD</t>
    </r>
    <r>
      <rPr>
        <sz val="10"/>
        <rFont val="Geneva"/>
      </rPr>
      <t xml:space="preserve"> </t>
    </r>
  </si>
  <si>
    <r>
      <t>X</t>
    </r>
    <r>
      <rPr>
        <vertAlign val="subscript"/>
        <sz val="10"/>
        <rFont val="Geneva"/>
      </rPr>
      <t>H</t>
    </r>
  </si>
  <si>
    <r>
      <t>X</t>
    </r>
    <r>
      <rPr>
        <vertAlign val="subscript"/>
        <sz val="10"/>
        <rFont val="Geneva"/>
      </rPr>
      <t>I</t>
    </r>
  </si>
  <si>
    <r>
      <t>X</t>
    </r>
    <r>
      <rPr>
        <vertAlign val="subscript"/>
        <sz val="10"/>
        <rFont val="Geneva"/>
      </rPr>
      <t>II</t>
    </r>
  </si>
  <si>
    <r>
      <t>X</t>
    </r>
    <r>
      <rPr>
        <vertAlign val="subscript"/>
        <sz val="10"/>
        <rFont val="Geneva"/>
      </rPr>
      <t>S</t>
    </r>
  </si>
  <si>
    <t>Symbole M&amp;E/ASM</t>
  </si>
  <si>
    <r>
      <t>DBO</t>
    </r>
    <r>
      <rPr>
        <vertAlign val="subscript"/>
        <sz val="10"/>
        <rFont val="Geneva"/>
      </rPr>
      <t>U</t>
    </r>
  </si>
  <si>
    <t xml:space="preserve">matières inorganiques en suspension </t>
  </si>
  <si>
    <r>
      <t>S</t>
    </r>
    <r>
      <rPr>
        <vertAlign val="subscript"/>
        <sz val="10"/>
        <rFont val="Geneva"/>
      </rPr>
      <t>AGV</t>
    </r>
  </si>
  <si>
    <r>
      <t>S</t>
    </r>
    <r>
      <rPr>
        <vertAlign val="subscript"/>
        <sz val="10"/>
        <rFont val="Geneva"/>
      </rPr>
      <t>DBO</t>
    </r>
  </si>
  <si>
    <r>
      <t>S</t>
    </r>
    <r>
      <rPr>
        <vertAlign val="subscript"/>
        <sz val="10"/>
        <rFont val="Geneva"/>
      </rPr>
      <t>DBOU</t>
    </r>
  </si>
  <si>
    <r>
      <t>S</t>
    </r>
    <r>
      <rPr>
        <vertAlign val="subscript"/>
        <sz val="10"/>
        <rFont val="Geneva"/>
      </rPr>
      <t>DCO</t>
    </r>
  </si>
  <si>
    <r>
      <t>X</t>
    </r>
    <r>
      <rPr>
        <vertAlign val="subscript"/>
        <sz val="10"/>
        <rFont val="Geneva"/>
      </rPr>
      <t>NIT</t>
    </r>
  </si>
  <si>
    <r>
      <t>X</t>
    </r>
    <r>
      <rPr>
        <vertAlign val="subscript"/>
        <sz val="10"/>
        <rFont val="Geneva"/>
      </rPr>
      <t>DBO</t>
    </r>
  </si>
  <si>
    <r>
      <t>X</t>
    </r>
    <r>
      <rPr>
        <vertAlign val="subscript"/>
        <sz val="10"/>
        <rFont val="Geneva"/>
      </rPr>
      <t>DBOU</t>
    </r>
  </si>
  <si>
    <r>
      <t>X</t>
    </r>
    <r>
      <rPr>
        <vertAlign val="subscript"/>
        <sz val="10"/>
        <rFont val="Geneva"/>
      </rPr>
      <t>DCO</t>
    </r>
  </si>
  <si>
    <r>
      <t>X</t>
    </r>
    <r>
      <rPr>
        <vertAlign val="subscript"/>
        <sz val="10"/>
        <rFont val="Geneva"/>
      </rPr>
      <t>B</t>
    </r>
  </si>
  <si>
    <t>YC, 12.09.07</t>
  </si>
  <si>
    <t>ISS</t>
  </si>
  <si>
    <t>BOD</t>
  </si>
  <si>
    <r>
      <t>S</t>
    </r>
    <r>
      <rPr>
        <vertAlign val="subscript"/>
        <sz val="10"/>
        <rFont val="Arial"/>
        <family val="2"/>
      </rPr>
      <t>BOD</t>
    </r>
  </si>
  <si>
    <r>
      <t>S</t>
    </r>
    <r>
      <rPr>
        <vertAlign val="subscript"/>
        <sz val="10"/>
        <rFont val="Arial"/>
        <family val="2"/>
      </rPr>
      <t>BODU</t>
    </r>
  </si>
  <si>
    <r>
      <t>X</t>
    </r>
    <r>
      <rPr>
        <vertAlign val="subscript"/>
        <sz val="10"/>
        <rFont val="Arial"/>
        <family val="2"/>
      </rPr>
      <t>BODU</t>
    </r>
  </si>
  <si>
    <r>
      <t>BOD</t>
    </r>
    <r>
      <rPr>
        <vertAlign val="subscript"/>
        <sz val="10"/>
        <rFont val="Arial"/>
        <family val="2"/>
      </rPr>
      <t>U</t>
    </r>
  </si>
  <si>
    <r>
      <t>S</t>
    </r>
    <r>
      <rPr>
        <vertAlign val="subscript"/>
        <sz val="10"/>
        <rFont val="Arial"/>
        <family val="2"/>
      </rPr>
      <t>Ig</t>
    </r>
  </si>
  <si>
    <r>
      <t>S</t>
    </r>
    <r>
      <rPr>
        <vertAlign val="subscript"/>
        <sz val="10"/>
        <rFont val="Arial"/>
        <family val="2"/>
      </rPr>
      <t>U</t>
    </r>
  </si>
  <si>
    <r>
      <t>S</t>
    </r>
    <r>
      <rPr>
        <vertAlign val="subscript"/>
        <sz val="10"/>
        <rFont val="Arial"/>
        <family val="2"/>
      </rPr>
      <t>VFA</t>
    </r>
  </si>
  <si>
    <r>
      <t>X</t>
    </r>
    <r>
      <rPr>
        <vertAlign val="subscript"/>
        <sz val="10"/>
        <rFont val="Arial"/>
        <family val="2"/>
      </rPr>
      <t>B</t>
    </r>
  </si>
  <si>
    <r>
      <t>X</t>
    </r>
    <r>
      <rPr>
        <vertAlign val="subscript"/>
        <sz val="10"/>
        <rFont val="Arial"/>
        <family val="2"/>
      </rPr>
      <t>H</t>
    </r>
  </si>
  <si>
    <r>
      <t>X</t>
    </r>
    <r>
      <rPr>
        <vertAlign val="subscript"/>
        <sz val="10"/>
        <rFont val="Arial"/>
        <family val="2"/>
      </rPr>
      <t>U</t>
    </r>
  </si>
  <si>
    <r>
      <t>X</t>
    </r>
    <r>
      <rPr>
        <vertAlign val="subscript"/>
        <sz val="10"/>
        <rFont val="Arial"/>
        <family val="2"/>
      </rPr>
      <t>Ig</t>
    </r>
  </si>
  <si>
    <r>
      <t>S</t>
    </r>
    <r>
      <rPr>
        <vertAlign val="subscript"/>
        <sz val="10"/>
        <rFont val="Arial"/>
        <family val="2"/>
      </rPr>
      <t>B</t>
    </r>
  </si>
  <si>
    <r>
      <t>S</t>
    </r>
    <r>
      <rPr>
        <vertAlign val="subscript"/>
        <sz val="10"/>
        <rFont val="Arial"/>
        <family val="2"/>
      </rPr>
      <t>COD</t>
    </r>
  </si>
  <si>
    <r>
      <t>X</t>
    </r>
    <r>
      <rPr>
        <vertAlign val="subscript"/>
        <sz val="10"/>
        <rFont val="Arial"/>
        <family val="2"/>
      </rPr>
      <t>COD</t>
    </r>
  </si>
  <si>
    <t xml:space="preserve"> : unités matières dans le cadre plein</t>
  </si>
  <si>
    <t xml:space="preserve"> : unités DBO dans le cadre à tirets</t>
  </si>
  <si>
    <t xml:space="preserve"> : unités DCO dans le cadre à double lignes</t>
  </si>
  <si>
    <t xml:space="preserve">   pour assurer une meilleure cohérence des données</t>
  </si>
  <si>
    <r>
      <t>CS</t>
    </r>
    <r>
      <rPr>
        <vertAlign val="subscript"/>
        <sz val="10"/>
        <rFont val="Geneva"/>
      </rPr>
      <t>P</t>
    </r>
  </si>
  <si>
    <r>
      <t>CS</t>
    </r>
    <r>
      <rPr>
        <vertAlign val="subscript"/>
        <sz val="10"/>
        <rFont val="Geneva"/>
      </rPr>
      <t>TKN</t>
    </r>
  </si>
  <si>
    <r>
      <t>XC</t>
    </r>
    <r>
      <rPr>
        <vertAlign val="subscript"/>
        <sz val="10"/>
        <rFont val="Geneva"/>
      </rPr>
      <t>TKN</t>
    </r>
  </si>
  <si>
    <r>
      <t>XC</t>
    </r>
    <r>
      <rPr>
        <vertAlign val="subscript"/>
        <sz val="10"/>
        <rFont val="Geneva"/>
      </rPr>
      <t>P</t>
    </r>
  </si>
  <si>
    <t>Azote ASM2d</t>
  </si>
  <si>
    <t>EU typiques</t>
  </si>
  <si>
    <t>TN</t>
  </si>
  <si>
    <t>STKN</t>
  </si>
  <si>
    <t>Si iNSi</t>
  </si>
  <si>
    <t>Sf iNSf</t>
  </si>
  <si>
    <t>TKN</t>
  </si>
  <si>
    <t>Xs iNXs</t>
  </si>
  <si>
    <t>Xaut iNBM; Xpao iNBM</t>
  </si>
  <si>
    <t>XTKN</t>
  </si>
  <si>
    <t>Xi iNXi</t>
  </si>
  <si>
    <t>Xh iNBM</t>
  </si>
  <si>
    <t xml:space="preserve">où: </t>
  </si>
  <si>
    <t>nitrates</t>
  </si>
  <si>
    <t>ammoniaque (+ ammoniac)</t>
  </si>
  <si>
    <t>dinitrogène (gazeux)</t>
  </si>
  <si>
    <t>iN</t>
  </si>
  <si>
    <t>fraction en N organique d'un composé</t>
  </si>
  <si>
    <t>BM</t>
  </si>
  <si>
    <t>biomasse</t>
  </si>
  <si>
    <t>orthophosphates</t>
  </si>
  <si>
    <t>iP</t>
  </si>
  <si>
    <t>fraction en P organique d'un composé</t>
  </si>
  <si>
    <t>STP</t>
  </si>
  <si>
    <t>Si iPSi</t>
  </si>
  <si>
    <t>Sf iPSf</t>
  </si>
  <si>
    <t>TP</t>
  </si>
  <si>
    <t>Xs iPXs</t>
  </si>
  <si>
    <t>Xaut iPBM; Xpao iPBM</t>
  </si>
  <si>
    <t>XTP</t>
  </si>
  <si>
    <t>Xh iPBM</t>
  </si>
  <si>
    <t>Xi iPXi</t>
  </si>
  <si>
    <t>XFeP * 0.205</t>
  </si>
  <si>
    <r>
      <t>Valeurs ombragées tirées de M&amp;E (2003) sauf pour la DBO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 xml:space="preserve"> qui a été augmentée de 110 à 120 mg/L </t>
    </r>
  </si>
  <si>
    <t>16.08.05</t>
  </si>
  <si>
    <r>
      <t>S</t>
    </r>
    <r>
      <rPr>
        <vertAlign val="subscript"/>
        <sz val="8.5"/>
        <rFont val="Arial"/>
        <family val="2"/>
      </rPr>
      <t xml:space="preserve">F </t>
    </r>
  </si>
  <si>
    <r>
      <t>S</t>
    </r>
    <r>
      <rPr>
        <vertAlign val="subscript"/>
        <sz val="8.5"/>
        <rFont val="Arial"/>
        <family val="2"/>
      </rPr>
      <t>VFA</t>
    </r>
    <r>
      <rPr>
        <sz val="10"/>
        <rFont val="Arial"/>
        <family val="2"/>
      </rPr>
      <t xml:space="preserve"> </t>
    </r>
  </si>
  <si>
    <t>Fractions typiques de la DCO pour eaux usées brutes tirées de EnviroSim (2014)</t>
  </si>
  <si>
    <t xml:space="preserve">DCO </t>
  </si>
  <si>
    <r>
      <t>DBO</t>
    </r>
    <r>
      <rPr>
        <vertAlign val="subscript"/>
        <sz val="10"/>
        <rFont val="Geneva"/>
      </rPr>
      <t>U</t>
    </r>
    <r>
      <rPr>
        <sz val="10"/>
        <rFont val="Geneva"/>
      </rPr>
      <t xml:space="preserve"> </t>
    </r>
  </si>
  <si>
    <t>unités :</t>
  </si>
  <si>
    <t>(mg C/L)</t>
  </si>
  <si>
    <r>
      <t>(mg O</t>
    </r>
    <r>
      <rPr>
        <vertAlign val="subscript"/>
        <sz val="10"/>
        <rFont val="Geneva"/>
      </rPr>
      <t>2</t>
    </r>
    <r>
      <rPr>
        <sz val="10"/>
        <rFont val="Geneva"/>
      </rPr>
      <t>/L)</t>
    </r>
  </si>
  <si>
    <r>
      <t>X</t>
    </r>
    <r>
      <rPr>
        <vertAlign val="subscript"/>
        <sz val="11.5"/>
        <rFont val="Geneva"/>
      </rPr>
      <t>DCO</t>
    </r>
  </si>
  <si>
    <t>DCOb</t>
  </si>
  <si>
    <r>
      <t>X</t>
    </r>
    <r>
      <rPr>
        <vertAlign val="subscript"/>
        <sz val="11.5"/>
        <rFont val="Geneva"/>
      </rPr>
      <t>DCOb</t>
    </r>
  </si>
  <si>
    <r>
      <t>DBO</t>
    </r>
    <r>
      <rPr>
        <vertAlign val="subscript"/>
        <sz val="11.5"/>
        <rFont val="Geneva"/>
      </rPr>
      <t>U</t>
    </r>
    <r>
      <rPr>
        <sz val="10"/>
        <rFont val="Geneva"/>
      </rPr>
      <t>-C</t>
    </r>
  </si>
  <si>
    <r>
      <t>X</t>
    </r>
    <r>
      <rPr>
        <vertAlign val="subscript"/>
        <sz val="10"/>
        <rFont val="Geneva"/>
      </rPr>
      <t>DBOU-C</t>
    </r>
  </si>
  <si>
    <r>
      <t>DBO</t>
    </r>
    <r>
      <rPr>
        <vertAlign val="subscript"/>
        <sz val="10"/>
        <rFont val="Geneva"/>
      </rPr>
      <t>5</t>
    </r>
    <r>
      <rPr>
        <sz val="10"/>
        <rFont val="Geneva"/>
      </rPr>
      <t>-C</t>
    </r>
  </si>
  <si>
    <r>
      <t>X</t>
    </r>
    <r>
      <rPr>
        <vertAlign val="subscript"/>
        <sz val="11.5"/>
        <rFont val="Geneva"/>
      </rPr>
      <t>DBO5-C</t>
    </r>
  </si>
  <si>
    <r>
      <t>S</t>
    </r>
    <r>
      <rPr>
        <vertAlign val="subscript"/>
        <sz val="11.5"/>
        <rFont val="Geneva"/>
      </rPr>
      <t>DCO</t>
    </r>
  </si>
  <si>
    <r>
      <t>S</t>
    </r>
    <r>
      <rPr>
        <vertAlign val="subscript"/>
        <sz val="11.5"/>
        <rFont val="Geneva"/>
      </rPr>
      <t>DCOb</t>
    </r>
  </si>
  <si>
    <r>
      <t>S</t>
    </r>
    <r>
      <rPr>
        <vertAlign val="subscript"/>
        <sz val="10"/>
        <rFont val="Geneva"/>
      </rPr>
      <t>DBOU-C</t>
    </r>
  </si>
  <si>
    <r>
      <t>S</t>
    </r>
    <r>
      <rPr>
        <vertAlign val="subscript"/>
        <sz val="11.5"/>
        <rFont val="Geneva"/>
      </rPr>
      <t>DBO5-C</t>
    </r>
  </si>
  <si>
    <t>filtrable</t>
  </si>
  <si>
    <t>organique</t>
  </si>
  <si>
    <t>inorganique</t>
  </si>
  <si>
    <t>Note:  b: biodégradable; c: carbonée; X: particulaire; S: filtrable (soluble); AGV: acides gras volatils (incl. acétate, propionate)</t>
  </si>
  <si>
    <t>Note : les matières filtrables sont, en fait, composées des matières colloïdales et solubles</t>
  </si>
  <si>
    <r>
      <t>X</t>
    </r>
    <r>
      <rPr>
        <vertAlign val="subscript"/>
        <sz val="10"/>
        <rFont val="Arial"/>
        <family val="2"/>
      </rPr>
      <t>BOD</t>
    </r>
  </si>
  <si>
    <t>Valeurs ombragées tirées de M&amp;EA (2014) pour des eaux usées faiblement concentrées</t>
  </si>
  <si>
    <t>total</t>
  </si>
  <si>
    <t>concentration (mg/L)</t>
  </si>
  <si>
    <t>Total suspended solids (residue)</t>
  </si>
  <si>
    <t>Inorganic suspended solids (residue)</t>
  </si>
  <si>
    <t>Volatile (organic) suspended solids (residue)</t>
  </si>
  <si>
    <t xml:space="preserve">Water </t>
  </si>
  <si>
    <t>Total inorganic carbon</t>
  </si>
  <si>
    <t>Other anions (strong acids)</t>
  </si>
  <si>
    <t>Other cations (strong bases)</t>
  </si>
  <si>
    <t>Polyphosphate bound cations</t>
  </si>
  <si>
    <t>Inorganics associated to soluble organic matter</t>
  </si>
  <si>
    <t xml:space="preserve"> Mg</t>
  </si>
  <si>
    <t>Magnesium</t>
  </si>
  <si>
    <t>Calcium</t>
  </si>
  <si>
    <t>Sulfate</t>
  </si>
  <si>
    <t>Total phosphate (soluble P + metal-P)</t>
  </si>
  <si>
    <t xml:space="preserve">Nitrite + nitrate </t>
  </si>
  <si>
    <t xml:space="preserve">Inorganics present in colloidal matter </t>
  </si>
  <si>
    <t xml:space="preserve">Inorganics associated to colloidal organic matter </t>
  </si>
  <si>
    <t>Influent colloidal inorganics (excluding other state variables)</t>
  </si>
  <si>
    <t>P content of particulate unbiodegradable organic matter</t>
  </si>
  <si>
    <t>P content of particulate biodegradable organic matter</t>
  </si>
  <si>
    <t>Particulate inorganic matter</t>
  </si>
  <si>
    <t>Stored polyphosphates in PAOs</t>
  </si>
  <si>
    <t>Non releasable stored phosphates in PAOs</t>
  </si>
  <si>
    <t>Releasable stored phosphates in PAOs</t>
  </si>
  <si>
    <t>Metals (Al - Fe)</t>
  </si>
  <si>
    <t>Metal hydroxide precipitates</t>
  </si>
  <si>
    <t>Iron hydroxide precipitates</t>
  </si>
  <si>
    <t>Aluminum hydroxide precipitates</t>
  </si>
  <si>
    <t>Metal phosphate precipitates</t>
  </si>
  <si>
    <t>Aluminum phosphate precipitates</t>
  </si>
  <si>
    <t>Iron phosphate precipitates</t>
  </si>
  <si>
    <t>Hydroxyapatite</t>
  </si>
  <si>
    <t>Struvite (magnesium ammonium phosphate)</t>
  </si>
  <si>
    <t>Inorganics that associated to organic matter (including organisms)</t>
  </si>
  <si>
    <t>Influent particulate inorganics (excluding other state variables)</t>
  </si>
  <si>
    <t>Glycogen accumulating organisms (GAOs)</t>
  </si>
  <si>
    <t>Phosphorus accumulating organisms (PAOs)</t>
  </si>
  <si>
    <t>Ordinary heterotrophic organisms (OHOs)</t>
  </si>
  <si>
    <t>Particulate organic matter</t>
  </si>
  <si>
    <t>Particulate unbiodegradable organics</t>
  </si>
  <si>
    <t>Particulate unbiodegradable endogenous products</t>
  </si>
  <si>
    <t>Particulate unbiodegradable endogen. products from PAOs</t>
  </si>
  <si>
    <t>Particulate unbiodegradable endogen. products from OHOs</t>
  </si>
  <si>
    <t>Particulate unbiodegradable organics from the influent</t>
  </si>
  <si>
    <t>Particulate biodegradable organics</t>
  </si>
  <si>
    <t>Stored PHAs and glycogen</t>
  </si>
  <si>
    <t>Stored glycogen in GAOs</t>
  </si>
  <si>
    <t>Stored PHAs in GAOs</t>
  </si>
  <si>
    <t>Stored PHAs in OHOs</t>
  </si>
  <si>
    <t>Stored glycogen in PAOs</t>
  </si>
  <si>
    <t>Stored  polyhydroxyalkanoates (PHAs) in phosphorus accumulating organisms (PAOs)</t>
  </si>
  <si>
    <t>Influent slowly biodegradable particulate organics (non colloidal)</t>
  </si>
  <si>
    <t>Colloidal organic matter</t>
  </si>
  <si>
    <t>Colloidal unbiodegradable matter</t>
  </si>
  <si>
    <t>Influent unbiodegradable colloidal matter</t>
  </si>
  <si>
    <t>Slowly biodegradable colloidal matter</t>
  </si>
  <si>
    <t>Influent slowly biodegradable colloidal matter</t>
  </si>
  <si>
    <t xml:space="preserve"> DO</t>
  </si>
  <si>
    <t>Dissolved hydrogen sulfide</t>
  </si>
  <si>
    <t>Dissolved hydrogen</t>
  </si>
  <si>
    <t>Soluble organic matter</t>
  </si>
  <si>
    <t>Soluble unbiodegradable organic matter</t>
  </si>
  <si>
    <t>Soluble unbiodegradable endogenous products</t>
  </si>
  <si>
    <t>Influent soluble unbiodegradable organics</t>
  </si>
  <si>
    <t>Fermentable organic matter</t>
  </si>
  <si>
    <t>Propionate</t>
  </si>
  <si>
    <t>Acetate</t>
  </si>
  <si>
    <t>Methanol</t>
  </si>
  <si>
    <t>Methane</t>
  </si>
  <si>
    <r>
      <t>S</t>
    </r>
    <r>
      <rPr>
        <vertAlign val="subscript"/>
        <sz val="10"/>
        <rFont val="Times New Roman"/>
        <family val="1"/>
      </rPr>
      <t>COD</t>
    </r>
  </si>
  <si>
    <r>
      <t>S</t>
    </r>
    <r>
      <rPr>
        <vertAlign val="subscript"/>
        <sz val="10"/>
        <rFont val="Times New Roman"/>
        <family val="1"/>
      </rPr>
      <t>CH4</t>
    </r>
  </si>
  <si>
    <r>
      <t xml:space="preserve"> S</t>
    </r>
    <r>
      <rPr>
        <vertAlign val="subscript"/>
        <sz val="10"/>
        <rFont val="Times New Roman"/>
        <family val="1"/>
      </rPr>
      <t>CH4</t>
    </r>
  </si>
  <si>
    <r>
      <t>S</t>
    </r>
    <r>
      <rPr>
        <vertAlign val="subscript"/>
        <sz val="10"/>
        <rFont val="Times New Roman"/>
        <family val="1"/>
      </rPr>
      <t>MEOL</t>
    </r>
  </si>
  <si>
    <r>
      <t xml:space="preserve"> S</t>
    </r>
    <r>
      <rPr>
        <vertAlign val="subscript"/>
        <sz val="10"/>
        <rFont val="Times New Roman"/>
        <family val="1"/>
      </rPr>
      <t>BMETH</t>
    </r>
  </si>
  <si>
    <r>
      <t>S</t>
    </r>
    <r>
      <rPr>
        <vertAlign val="subscript"/>
        <sz val="10"/>
        <rFont val="Times New Roman"/>
        <family val="1"/>
      </rPr>
      <t>AC</t>
    </r>
  </si>
  <si>
    <r>
      <t xml:space="preserve"> S</t>
    </r>
    <r>
      <rPr>
        <vertAlign val="subscript"/>
        <sz val="10"/>
        <rFont val="Times New Roman"/>
        <family val="1"/>
      </rPr>
      <t>BSA</t>
    </r>
  </si>
  <si>
    <r>
      <t>S</t>
    </r>
    <r>
      <rPr>
        <vertAlign val="subscript"/>
        <sz val="10"/>
        <rFont val="Times New Roman"/>
        <family val="1"/>
      </rPr>
      <t>PR</t>
    </r>
  </si>
  <si>
    <r>
      <t xml:space="preserve"> S</t>
    </r>
    <r>
      <rPr>
        <vertAlign val="subscript"/>
        <sz val="10"/>
        <rFont val="Times New Roman"/>
        <family val="1"/>
      </rPr>
      <t>BSP</t>
    </r>
  </si>
  <si>
    <r>
      <t>S</t>
    </r>
    <r>
      <rPr>
        <vertAlign val="subscript"/>
        <sz val="10"/>
        <rFont val="Times New Roman"/>
        <family val="1"/>
      </rPr>
      <t>VFA</t>
    </r>
  </si>
  <si>
    <r>
      <t xml:space="preserve"> S</t>
    </r>
    <r>
      <rPr>
        <vertAlign val="subscript"/>
        <sz val="10"/>
        <rFont val="Times New Roman"/>
        <family val="1"/>
      </rPr>
      <t>LF</t>
    </r>
  </si>
  <si>
    <r>
      <t xml:space="preserve"> S</t>
    </r>
    <r>
      <rPr>
        <vertAlign val="subscript"/>
        <sz val="10"/>
        <rFont val="Times New Roman"/>
        <family val="1"/>
      </rPr>
      <t>A</t>
    </r>
  </si>
  <si>
    <r>
      <t xml:space="preserve"> S</t>
    </r>
    <r>
      <rPr>
        <vertAlign val="subscript"/>
        <sz val="10"/>
        <rFont val="Times New Roman"/>
        <family val="1"/>
      </rPr>
      <t>AC</t>
    </r>
  </si>
  <si>
    <r>
      <t>S</t>
    </r>
    <r>
      <rPr>
        <vertAlign val="subscript"/>
        <sz val="10"/>
        <rFont val="Times New Roman"/>
        <family val="1"/>
      </rPr>
      <t>F</t>
    </r>
  </si>
  <si>
    <r>
      <t xml:space="preserve"> S</t>
    </r>
    <r>
      <rPr>
        <vertAlign val="subscript"/>
        <sz val="10"/>
        <rFont val="Times New Roman"/>
        <family val="1"/>
      </rPr>
      <t>F</t>
    </r>
  </si>
  <si>
    <r>
      <t xml:space="preserve"> S</t>
    </r>
    <r>
      <rPr>
        <vertAlign val="subscript"/>
        <sz val="10"/>
        <rFont val="Times New Roman"/>
        <family val="1"/>
      </rPr>
      <t>BSC</t>
    </r>
  </si>
  <si>
    <r>
      <t>S</t>
    </r>
    <r>
      <rPr>
        <vertAlign val="subscript"/>
        <sz val="10"/>
        <rFont val="Times New Roman"/>
        <family val="1"/>
      </rPr>
      <t>B</t>
    </r>
  </si>
  <si>
    <r>
      <t xml:space="preserve"> S</t>
    </r>
    <r>
      <rPr>
        <vertAlign val="subscript"/>
        <sz val="10"/>
        <rFont val="Times New Roman"/>
        <family val="1"/>
      </rPr>
      <t>S</t>
    </r>
  </si>
  <si>
    <r>
      <t>S</t>
    </r>
    <r>
      <rPr>
        <vertAlign val="subscript"/>
        <sz val="10"/>
        <rFont val="Times New Roman"/>
        <family val="1"/>
      </rPr>
      <t>INF,U</t>
    </r>
  </si>
  <si>
    <r>
      <t xml:space="preserve"> S</t>
    </r>
    <r>
      <rPr>
        <vertAlign val="subscript"/>
        <sz val="10"/>
        <rFont val="Times New Roman"/>
        <family val="1"/>
      </rPr>
      <t>I</t>
    </r>
  </si>
  <si>
    <r>
      <t xml:space="preserve"> S</t>
    </r>
    <r>
      <rPr>
        <vertAlign val="subscript"/>
        <sz val="10"/>
        <rFont val="Times New Roman"/>
        <family val="1"/>
      </rPr>
      <t>US</t>
    </r>
  </si>
  <si>
    <r>
      <t>S</t>
    </r>
    <r>
      <rPr>
        <vertAlign val="subscript"/>
        <sz val="10"/>
        <rFont val="Times New Roman"/>
        <family val="1"/>
      </rPr>
      <t>E</t>
    </r>
  </si>
  <si>
    <r>
      <t>S</t>
    </r>
    <r>
      <rPr>
        <vertAlign val="subscript"/>
        <sz val="10"/>
        <rFont val="Times New Roman"/>
        <family val="1"/>
      </rPr>
      <t>U</t>
    </r>
  </si>
  <si>
    <r>
      <t>S</t>
    </r>
    <r>
      <rPr>
        <vertAlign val="subscript"/>
        <sz val="10"/>
        <rFont val="Times New Roman"/>
        <family val="1"/>
      </rPr>
      <t>ORG</t>
    </r>
  </si>
  <si>
    <r>
      <t>S</t>
    </r>
    <r>
      <rPr>
        <vertAlign val="subscript"/>
        <sz val="10"/>
        <rFont val="Times New Roman"/>
        <family val="1"/>
      </rPr>
      <t>H2</t>
    </r>
  </si>
  <si>
    <r>
      <t xml:space="preserve"> S</t>
    </r>
    <r>
      <rPr>
        <vertAlign val="subscript"/>
        <sz val="10"/>
        <rFont val="Times New Roman"/>
        <family val="1"/>
      </rPr>
      <t>BH2</t>
    </r>
  </si>
  <si>
    <r>
      <t>S</t>
    </r>
    <r>
      <rPr>
        <vertAlign val="subscript"/>
        <sz val="10"/>
        <rFont val="Times New Roman"/>
        <family val="1"/>
      </rPr>
      <t>H2S</t>
    </r>
  </si>
  <si>
    <r>
      <t>O</t>
    </r>
    <r>
      <rPr>
        <vertAlign val="subscript"/>
        <sz val="10"/>
        <rFont val="Times New Roman"/>
        <family val="1"/>
      </rPr>
      <t>2</t>
    </r>
  </si>
  <si>
    <r>
      <t>S</t>
    </r>
    <r>
      <rPr>
        <vertAlign val="subscript"/>
        <sz val="10"/>
        <rFont val="Times New Roman"/>
        <family val="1"/>
      </rPr>
      <t>O2</t>
    </r>
  </si>
  <si>
    <r>
      <t xml:space="preserve"> S</t>
    </r>
    <r>
      <rPr>
        <vertAlign val="subscript"/>
        <sz val="10"/>
        <rFont val="Times New Roman"/>
        <family val="1"/>
      </rPr>
      <t>O</t>
    </r>
  </si>
  <si>
    <r>
      <t xml:space="preserve"> S</t>
    </r>
    <r>
      <rPr>
        <vertAlign val="subscript"/>
        <sz val="10"/>
        <rFont val="Times New Roman"/>
        <family val="1"/>
      </rPr>
      <t>O2</t>
    </r>
  </si>
  <si>
    <r>
      <t>C</t>
    </r>
    <r>
      <rPr>
        <vertAlign val="subscript"/>
        <sz val="10"/>
        <rFont val="Times New Roman"/>
        <family val="1"/>
      </rPr>
      <t>INF,B</t>
    </r>
  </si>
  <si>
    <r>
      <t xml:space="preserve"> X</t>
    </r>
    <r>
      <rPr>
        <vertAlign val="subscript"/>
        <sz val="10"/>
        <rFont val="Times New Roman"/>
        <family val="1"/>
      </rPr>
      <t>SC</t>
    </r>
  </si>
  <si>
    <r>
      <t>C</t>
    </r>
    <r>
      <rPr>
        <vertAlign val="subscript"/>
        <sz val="10"/>
        <rFont val="Times New Roman"/>
        <family val="1"/>
      </rPr>
      <t>B</t>
    </r>
  </si>
  <si>
    <r>
      <t>C</t>
    </r>
    <r>
      <rPr>
        <vertAlign val="subscript"/>
        <sz val="10"/>
        <rFont val="Times New Roman"/>
        <family val="1"/>
      </rPr>
      <t>INF,U</t>
    </r>
  </si>
  <si>
    <r>
      <t>C</t>
    </r>
    <r>
      <rPr>
        <vertAlign val="subscript"/>
        <sz val="10"/>
        <rFont val="Times New Roman"/>
        <family val="1"/>
      </rPr>
      <t>E</t>
    </r>
  </si>
  <si>
    <r>
      <t>C</t>
    </r>
    <r>
      <rPr>
        <vertAlign val="subscript"/>
        <sz val="10"/>
        <rFont val="Times New Roman"/>
        <family val="1"/>
      </rPr>
      <t>U</t>
    </r>
  </si>
  <si>
    <r>
      <t>C</t>
    </r>
    <r>
      <rPr>
        <vertAlign val="subscript"/>
        <sz val="10"/>
        <rFont val="Times New Roman"/>
        <family val="1"/>
      </rPr>
      <t>ORG</t>
    </r>
  </si>
  <si>
    <r>
      <t>X</t>
    </r>
    <r>
      <rPr>
        <vertAlign val="subscript"/>
        <sz val="10"/>
        <rFont val="Times New Roman"/>
        <family val="1"/>
      </rPr>
      <t>INF,B</t>
    </r>
  </si>
  <si>
    <r>
      <t xml:space="preserve"> X</t>
    </r>
    <r>
      <rPr>
        <vertAlign val="subscript"/>
        <sz val="10"/>
        <rFont val="Times New Roman"/>
        <family val="1"/>
      </rPr>
      <t>SP</t>
    </r>
  </si>
  <si>
    <r>
      <t xml:space="preserve"> X</t>
    </r>
    <r>
      <rPr>
        <vertAlign val="subscript"/>
        <sz val="10"/>
        <rFont val="Times New Roman"/>
        <family val="1"/>
      </rPr>
      <t>S</t>
    </r>
  </si>
  <si>
    <r>
      <t>X</t>
    </r>
    <r>
      <rPr>
        <vertAlign val="subscript"/>
        <sz val="10"/>
        <rFont val="Times New Roman"/>
        <family val="1"/>
      </rPr>
      <t>INF,B,ENM</t>
    </r>
  </si>
  <si>
    <r>
      <t xml:space="preserve"> X</t>
    </r>
    <r>
      <rPr>
        <vertAlign val="subscript"/>
        <sz val="10"/>
        <rFont val="Times New Roman"/>
        <family val="1"/>
      </rPr>
      <t>ENM</t>
    </r>
  </si>
  <si>
    <r>
      <t>X</t>
    </r>
    <r>
      <rPr>
        <vertAlign val="subscript"/>
        <sz val="10"/>
        <rFont val="Times New Roman"/>
        <family val="1"/>
      </rPr>
      <t>ADS,B</t>
    </r>
  </si>
  <si>
    <r>
      <t>X</t>
    </r>
    <r>
      <rPr>
        <vertAlign val="subscript"/>
        <sz val="10"/>
        <rFont val="Times New Roman"/>
        <family val="1"/>
      </rPr>
      <t>INF,B,ENM</t>
    </r>
    <r>
      <rPr>
        <sz val="10"/>
        <rFont val="Times New Roman"/>
        <family val="1"/>
      </rPr>
      <t xml:space="preserve">  adsorbed or produced from biomass decay</t>
    </r>
  </si>
  <si>
    <r>
      <t xml:space="preserve"> X</t>
    </r>
    <r>
      <rPr>
        <vertAlign val="subscript"/>
        <sz val="10"/>
        <rFont val="Times New Roman"/>
        <family val="1"/>
      </rPr>
      <t>ADS</t>
    </r>
  </si>
  <si>
    <r>
      <t>X</t>
    </r>
    <r>
      <rPr>
        <vertAlign val="subscript"/>
        <sz val="10"/>
        <rFont val="Times New Roman"/>
        <family val="1"/>
      </rPr>
      <t>PAO,PHA</t>
    </r>
  </si>
  <si>
    <r>
      <t xml:space="preserve"> X</t>
    </r>
    <r>
      <rPr>
        <vertAlign val="subscript"/>
        <sz val="10"/>
        <rFont val="Times New Roman"/>
        <family val="1"/>
      </rPr>
      <t>PHA</t>
    </r>
  </si>
  <si>
    <r>
      <t xml:space="preserve"> S</t>
    </r>
    <r>
      <rPr>
        <vertAlign val="subscript"/>
        <sz val="10"/>
        <rFont val="Times New Roman"/>
        <family val="1"/>
      </rPr>
      <t>PHB</t>
    </r>
  </si>
  <si>
    <r>
      <t xml:space="preserve"> X</t>
    </r>
    <r>
      <rPr>
        <vertAlign val="subscript"/>
        <sz val="10"/>
        <rFont val="Times New Roman"/>
        <family val="1"/>
      </rPr>
      <t>PHB</t>
    </r>
  </si>
  <si>
    <r>
      <t>X</t>
    </r>
    <r>
      <rPr>
        <vertAlign val="subscript"/>
        <sz val="10"/>
        <rFont val="Times New Roman"/>
        <family val="1"/>
      </rPr>
      <t>PAO,GLY</t>
    </r>
  </si>
  <si>
    <r>
      <t xml:space="preserve"> X</t>
    </r>
    <r>
      <rPr>
        <vertAlign val="subscript"/>
        <sz val="10"/>
        <rFont val="Times New Roman"/>
        <family val="1"/>
      </rPr>
      <t>GLY</t>
    </r>
  </si>
  <si>
    <r>
      <t>X</t>
    </r>
    <r>
      <rPr>
        <vertAlign val="subscript"/>
        <sz val="10"/>
        <rFont val="Times New Roman"/>
        <family val="1"/>
      </rPr>
      <t>OHO,PHA</t>
    </r>
  </si>
  <si>
    <r>
      <t>X</t>
    </r>
    <r>
      <rPr>
        <vertAlign val="subscript"/>
        <sz val="10"/>
        <rFont val="Times New Roman"/>
        <family val="1"/>
      </rPr>
      <t>GAO,PHA</t>
    </r>
  </si>
  <si>
    <r>
      <t>X</t>
    </r>
    <r>
      <rPr>
        <vertAlign val="subscript"/>
        <sz val="10"/>
        <rFont val="Times New Roman"/>
        <family val="1"/>
      </rPr>
      <t>GAO,GLY</t>
    </r>
  </si>
  <si>
    <r>
      <t>X</t>
    </r>
    <r>
      <rPr>
        <vertAlign val="subscript"/>
        <sz val="10"/>
        <rFont val="Times New Roman"/>
        <family val="1"/>
      </rPr>
      <t>STO</t>
    </r>
  </si>
  <si>
    <r>
      <t xml:space="preserve"> X</t>
    </r>
    <r>
      <rPr>
        <vertAlign val="subscript"/>
        <sz val="10"/>
        <rFont val="Times New Roman"/>
        <family val="1"/>
      </rPr>
      <t>BT</t>
    </r>
  </si>
  <si>
    <r>
      <t xml:space="preserve"> X</t>
    </r>
    <r>
      <rPr>
        <vertAlign val="subscript"/>
        <sz val="10"/>
        <rFont val="Times New Roman"/>
        <family val="1"/>
      </rPr>
      <t>STO</t>
    </r>
  </si>
  <si>
    <r>
      <t>X</t>
    </r>
    <r>
      <rPr>
        <vertAlign val="subscript"/>
        <sz val="10"/>
        <rFont val="Times New Roman"/>
        <family val="1"/>
      </rPr>
      <t>B</t>
    </r>
  </si>
  <si>
    <r>
      <t>X</t>
    </r>
    <r>
      <rPr>
        <vertAlign val="subscript"/>
        <sz val="10"/>
        <rFont val="Times New Roman"/>
        <family val="1"/>
      </rPr>
      <t>INF,U</t>
    </r>
  </si>
  <si>
    <r>
      <t>X</t>
    </r>
    <r>
      <rPr>
        <vertAlign val="subscript"/>
        <sz val="10"/>
        <rFont val="Times New Roman"/>
        <family val="1"/>
      </rPr>
      <t>E,OHO</t>
    </r>
  </si>
  <si>
    <r>
      <t>X</t>
    </r>
    <r>
      <rPr>
        <vertAlign val="subscript"/>
        <sz val="10"/>
        <rFont val="Times New Roman"/>
        <family val="1"/>
      </rPr>
      <t>E,PAO</t>
    </r>
  </si>
  <si>
    <r>
      <t>X</t>
    </r>
    <r>
      <rPr>
        <vertAlign val="subscript"/>
        <sz val="10"/>
        <rFont val="Times New Roman"/>
        <family val="1"/>
      </rPr>
      <t>E</t>
    </r>
  </si>
  <si>
    <r>
      <t xml:space="preserve"> X</t>
    </r>
    <r>
      <rPr>
        <vertAlign val="subscript"/>
        <sz val="10"/>
        <rFont val="Times New Roman"/>
        <family val="1"/>
      </rPr>
      <t>U</t>
    </r>
  </si>
  <si>
    <r>
      <t xml:space="preserve"> Z</t>
    </r>
    <r>
      <rPr>
        <vertAlign val="subscript"/>
        <sz val="10"/>
        <rFont val="Times New Roman"/>
        <family val="1"/>
      </rPr>
      <t>E</t>
    </r>
  </si>
  <si>
    <r>
      <t xml:space="preserve"> X</t>
    </r>
    <r>
      <rPr>
        <vertAlign val="subscript"/>
        <sz val="10"/>
        <rFont val="Times New Roman"/>
        <family val="1"/>
      </rPr>
      <t>E</t>
    </r>
  </si>
  <si>
    <r>
      <t>X</t>
    </r>
    <r>
      <rPr>
        <vertAlign val="subscript"/>
        <sz val="10"/>
        <rFont val="Times New Roman"/>
        <family val="1"/>
      </rPr>
      <t>U</t>
    </r>
  </si>
  <si>
    <r>
      <t xml:space="preserve"> X</t>
    </r>
    <r>
      <rPr>
        <vertAlign val="subscript"/>
        <sz val="10"/>
        <rFont val="Times New Roman"/>
        <family val="1"/>
      </rPr>
      <t>I</t>
    </r>
  </si>
  <si>
    <r>
      <t>X</t>
    </r>
    <r>
      <rPr>
        <vertAlign val="subscript"/>
        <sz val="10"/>
        <rFont val="Times New Roman"/>
        <family val="1"/>
      </rPr>
      <t>ORG</t>
    </r>
  </si>
  <si>
    <r>
      <t>X</t>
    </r>
    <r>
      <rPr>
        <vertAlign val="subscript"/>
        <sz val="10"/>
        <rFont val="Times New Roman"/>
        <family val="1"/>
      </rPr>
      <t>OHO</t>
    </r>
  </si>
  <si>
    <r>
      <t xml:space="preserve"> X</t>
    </r>
    <r>
      <rPr>
        <vertAlign val="subscript"/>
        <sz val="10"/>
        <rFont val="Times New Roman"/>
        <family val="1"/>
      </rPr>
      <t>B,H</t>
    </r>
  </si>
  <si>
    <r>
      <t xml:space="preserve"> X</t>
    </r>
    <r>
      <rPr>
        <vertAlign val="subscript"/>
        <sz val="10"/>
        <rFont val="Times New Roman"/>
        <family val="1"/>
      </rPr>
      <t>BH</t>
    </r>
  </si>
  <si>
    <r>
      <t xml:space="preserve"> X</t>
    </r>
    <r>
      <rPr>
        <vertAlign val="subscript"/>
        <sz val="10"/>
        <rFont val="Times New Roman"/>
        <family val="1"/>
      </rPr>
      <t>H</t>
    </r>
  </si>
  <si>
    <r>
      <t xml:space="preserve"> Z</t>
    </r>
    <r>
      <rPr>
        <vertAlign val="subscript"/>
        <sz val="10"/>
        <rFont val="Times New Roman"/>
        <family val="1"/>
      </rPr>
      <t>BH</t>
    </r>
  </si>
  <si>
    <r>
      <t>X</t>
    </r>
    <r>
      <rPr>
        <vertAlign val="subscript"/>
        <sz val="10"/>
        <rFont val="Times New Roman"/>
        <family val="1"/>
      </rPr>
      <t>AOO</t>
    </r>
  </si>
  <si>
    <r>
      <t xml:space="preserve"> Z</t>
    </r>
    <r>
      <rPr>
        <vertAlign val="subscript"/>
        <sz val="10"/>
        <rFont val="Times New Roman"/>
        <family val="1"/>
      </rPr>
      <t>BA</t>
    </r>
  </si>
  <si>
    <r>
      <t xml:space="preserve"> X</t>
    </r>
    <r>
      <rPr>
        <vertAlign val="subscript"/>
        <sz val="10"/>
        <rFont val="Times New Roman"/>
        <family val="1"/>
      </rPr>
      <t>NH</t>
    </r>
  </si>
  <si>
    <r>
      <t>X</t>
    </r>
    <r>
      <rPr>
        <vertAlign val="subscript"/>
        <sz val="10"/>
        <rFont val="Times New Roman"/>
        <family val="1"/>
      </rPr>
      <t>NOO</t>
    </r>
  </si>
  <si>
    <r>
      <t xml:space="preserve"> Z</t>
    </r>
    <r>
      <rPr>
        <vertAlign val="subscript"/>
        <sz val="10"/>
        <rFont val="Times New Roman"/>
        <family val="1"/>
      </rPr>
      <t>BN</t>
    </r>
  </si>
  <si>
    <r>
      <t xml:space="preserve"> X</t>
    </r>
    <r>
      <rPr>
        <vertAlign val="subscript"/>
        <sz val="10"/>
        <rFont val="Times New Roman"/>
        <family val="1"/>
      </rPr>
      <t>NO</t>
    </r>
  </si>
  <si>
    <r>
      <t>X</t>
    </r>
    <r>
      <rPr>
        <vertAlign val="subscript"/>
        <sz val="10"/>
        <rFont val="Times New Roman"/>
        <family val="1"/>
      </rPr>
      <t>ANO</t>
    </r>
  </si>
  <si>
    <r>
      <t xml:space="preserve"> X</t>
    </r>
    <r>
      <rPr>
        <vertAlign val="subscript"/>
        <sz val="10"/>
        <rFont val="Times New Roman"/>
        <family val="1"/>
      </rPr>
      <t>B,A</t>
    </r>
  </si>
  <si>
    <r>
      <t xml:space="preserve"> X</t>
    </r>
    <r>
      <rPr>
        <vertAlign val="subscript"/>
        <sz val="10"/>
        <rFont val="Times New Roman"/>
        <family val="1"/>
      </rPr>
      <t>BA</t>
    </r>
  </si>
  <si>
    <r>
      <t xml:space="preserve"> X</t>
    </r>
    <r>
      <rPr>
        <vertAlign val="subscript"/>
        <sz val="10"/>
        <rFont val="Times New Roman"/>
        <family val="1"/>
      </rPr>
      <t>A</t>
    </r>
  </si>
  <si>
    <r>
      <t xml:space="preserve"> X</t>
    </r>
    <r>
      <rPr>
        <vertAlign val="subscript"/>
        <sz val="10"/>
        <rFont val="Times New Roman"/>
        <family val="1"/>
      </rPr>
      <t>AUT</t>
    </r>
  </si>
  <si>
    <r>
      <t>X</t>
    </r>
    <r>
      <rPr>
        <vertAlign val="subscript"/>
        <sz val="10"/>
        <rFont val="Times New Roman"/>
        <family val="1"/>
      </rPr>
      <t>AMO</t>
    </r>
  </si>
  <si>
    <r>
      <t xml:space="preserve"> Z</t>
    </r>
    <r>
      <rPr>
        <vertAlign val="subscript"/>
        <sz val="10"/>
        <rFont val="Times New Roman"/>
        <family val="1"/>
      </rPr>
      <t>BAMO</t>
    </r>
  </si>
  <si>
    <r>
      <t>X</t>
    </r>
    <r>
      <rPr>
        <vertAlign val="subscript"/>
        <sz val="10"/>
        <rFont val="Times New Roman"/>
        <family val="1"/>
      </rPr>
      <t>PAO</t>
    </r>
  </si>
  <si>
    <r>
      <t xml:space="preserve">  X</t>
    </r>
    <r>
      <rPr>
        <vertAlign val="subscript"/>
        <sz val="10"/>
        <rFont val="Times New Roman"/>
        <family val="1"/>
      </rPr>
      <t>BP</t>
    </r>
  </si>
  <si>
    <r>
      <t xml:space="preserve"> Z</t>
    </r>
    <r>
      <rPr>
        <vertAlign val="subscript"/>
        <sz val="10"/>
        <rFont val="Times New Roman"/>
        <family val="1"/>
      </rPr>
      <t>BP</t>
    </r>
  </si>
  <si>
    <r>
      <t xml:space="preserve"> X</t>
    </r>
    <r>
      <rPr>
        <vertAlign val="subscript"/>
        <sz val="10"/>
        <rFont val="Times New Roman"/>
        <family val="1"/>
      </rPr>
      <t>PAO</t>
    </r>
  </si>
  <si>
    <r>
      <t>X</t>
    </r>
    <r>
      <rPr>
        <vertAlign val="subscript"/>
        <sz val="10"/>
        <rFont val="Times New Roman"/>
        <family val="1"/>
      </rPr>
      <t>GAO</t>
    </r>
  </si>
  <si>
    <r>
      <t>X</t>
    </r>
    <r>
      <rPr>
        <vertAlign val="subscript"/>
        <sz val="10"/>
        <rFont val="Times New Roman"/>
        <family val="1"/>
      </rPr>
      <t>MEOLO</t>
    </r>
  </si>
  <si>
    <r>
      <t xml:space="preserve"> Z</t>
    </r>
    <r>
      <rPr>
        <vertAlign val="subscript"/>
        <sz val="10"/>
        <rFont val="Times New Roman"/>
        <family val="1"/>
      </rPr>
      <t>BMETH</t>
    </r>
  </si>
  <si>
    <r>
      <t>X</t>
    </r>
    <r>
      <rPr>
        <vertAlign val="subscript"/>
        <sz val="10"/>
        <rFont val="Times New Roman"/>
        <family val="1"/>
      </rPr>
      <t>ACO</t>
    </r>
  </si>
  <si>
    <r>
      <t xml:space="preserve"> Z</t>
    </r>
    <r>
      <rPr>
        <vertAlign val="subscript"/>
        <sz val="10"/>
        <rFont val="Times New Roman"/>
        <family val="1"/>
      </rPr>
      <t>BAM</t>
    </r>
  </si>
  <si>
    <r>
      <t>X</t>
    </r>
    <r>
      <rPr>
        <vertAlign val="subscript"/>
        <sz val="10"/>
        <rFont val="Times New Roman"/>
        <family val="1"/>
      </rPr>
      <t>HMO</t>
    </r>
  </si>
  <si>
    <r>
      <t xml:space="preserve"> Z</t>
    </r>
    <r>
      <rPr>
        <vertAlign val="subscript"/>
        <sz val="10"/>
        <rFont val="Times New Roman"/>
        <family val="1"/>
      </rPr>
      <t>BHM</t>
    </r>
  </si>
  <si>
    <r>
      <t>X</t>
    </r>
    <r>
      <rPr>
        <vertAlign val="subscript"/>
        <sz val="10"/>
        <rFont val="Times New Roman"/>
        <family val="1"/>
      </rPr>
      <t>PRO</t>
    </r>
  </si>
  <si>
    <r>
      <t xml:space="preserve"> Z</t>
    </r>
    <r>
      <rPr>
        <vertAlign val="subscript"/>
        <sz val="10"/>
        <rFont val="Times New Roman"/>
        <family val="1"/>
      </rPr>
      <t>BPA</t>
    </r>
  </si>
  <si>
    <r>
      <t>X</t>
    </r>
    <r>
      <rPr>
        <vertAlign val="subscript"/>
        <sz val="10"/>
        <rFont val="Times New Roman"/>
        <family val="1"/>
      </rPr>
      <t>SRO</t>
    </r>
  </si>
  <si>
    <r>
      <t>X</t>
    </r>
    <r>
      <rPr>
        <vertAlign val="subscript"/>
        <sz val="10"/>
        <rFont val="Times New Roman"/>
        <family val="1"/>
      </rPr>
      <t>BIOM</t>
    </r>
  </si>
  <si>
    <r>
      <t>X</t>
    </r>
    <r>
      <rPr>
        <vertAlign val="subscript"/>
        <sz val="10"/>
        <rFont val="Times New Roman"/>
        <family val="1"/>
      </rPr>
      <t>INF,IG</t>
    </r>
  </si>
  <si>
    <r>
      <t>X</t>
    </r>
    <r>
      <rPr>
        <vertAlign val="subscript"/>
        <sz val="10"/>
        <rFont val="Times New Roman"/>
        <family val="1"/>
      </rPr>
      <t>ORG,IG</t>
    </r>
  </si>
  <si>
    <r>
      <t>X</t>
    </r>
    <r>
      <rPr>
        <vertAlign val="subscript"/>
        <sz val="10"/>
        <rFont val="Times New Roman"/>
        <family val="1"/>
      </rPr>
      <t>MAP</t>
    </r>
  </si>
  <si>
    <r>
      <t xml:space="preserve"> X</t>
    </r>
    <r>
      <rPr>
        <vertAlign val="subscript"/>
        <sz val="10"/>
        <rFont val="Times New Roman"/>
        <family val="1"/>
      </rPr>
      <t>STRU</t>
    </r>
  </si>
  <si>
    <r>
      <t>X</t>
    </r>
    <r>
      <rPr>
        <vertAlign val="subscript"/>
        <sz val="10"/>
        <rFont val="Times New Roman"/>
        <family val="1"/>
      </rPr>
      <t>HAP</t>
    </r>
  </si>
  <si>
    <r>
      <t xml:space="preserve"> X</t>
    </r>
    <r>
      <rPr>
        <vertAlign val="subscript"/>
        <sz val="10"/>
        <rFont val="Times New Roman"/>
        <family val="1"/>
      </rPr>
      <t>HAP</t>
    </r>
  </si>
  <si>
    <r>
      <t>X</t>
    </r>
    <r>
      <rPr>
        <vertAlign val="subscript"/>
        <sz val="10"/>
        <rFont val="Times New Roman"/>
        <family val="1"/>
      </rPr>
      <t>HDP</t>
    </r>
  </si>
  <si>
    <r>
      <t xml:space="preserve"> X</t>
    </r>
    <r>
      <rPr>
        <vertAlign val="subscript"/>
        <sz val="10"/>
        <rFont val="Times New Roman"/>
        <family val="1"/>
      </rPr>
      <t>HDP</t>
    </r>
  </si>
  <si>
    <r>
      <t>X</t>
    </r>
    <r>
      <rPr>
        <vertAlign val="subscript"/>
        <sz val="10"/>
        <rFont val="Times New Roman"/>
        <family val="1"/>
      </rPr>
      <t>FEP</t>
    </r>
  </si>
  <si>
    <r>
      <t>X</t>
    </r>
    <r>
      <rPr>
        <vertAlign val="subscript"/>
        <sz val="10"/>
        <rFont val="Times New Roman"/>
        <family val="1"/>
      </rPr>
      <t>ALP</t>
    </r>
  </si>
  <si>
    <r>
      <t>X</t>
    </r>
    <r>
      <rPr>
        <vertAlign val="subscript"/>
        <sz val="10"/>
        <rFont val="Times New Roman"/>
        <family val="1"/>
      </rPr>
      <t>MEP</t>
    </r>
  </si>
  <si>
    <r>
      <t xml:space="preserve"> X</t>
    </r>
    <r>
      <rPr>
        <vertAlign val="subscript"/>
        <sz val="10"/>
        <rFont val="Times New Roman"/>
        <family val="1"/>
      </rPr>
      <t>MEP</t>
    </r>
  </si>
  <si>
    <r>
      <t>X</t>
    </r>
    <r>
      <rPr>
        <vertAlign val="subscript"/>
        <sz val="10"/>
        <rFont val="Times New Roman"/>
        <family val="1"/>
      </rPr>
      <t>ALOH</t>
    </r>
  </si>
  <si>
    <r>
      <t>X</t>
    </r>
    <r>
      <rPr>
        <vertAlign val="subscript"/>
        <sz val="10"/>
        <rFont val="Times New Roman"/>
        <family val="1"/>
      </rPr>
      <t>FEOH</t>
    </r>
  </si>
  <si>
    <r>
      <t>X</t>
    </r>
    <r>
      <rPr>
        <vertAlign val="subscript"/>
        <sz val="10"/>
        <rFont val="Times New Roman"/>
        <family val="1"/>
      </rPr>
      <t>MEOH</t>
    </r>
  </si>
  <si>
    <r>
      <t xml:space="preserve"> X</t>
    </r>
    <r>
      <rPr>
        <vertAlign val="subscript"/>
        <sz val="10"/>
        <rFont val="Times New Roman"/>
        <family val="1"/>
      </rPr>
      <t>MEOH</t>
    </r>
  </si>
  <si>
    <r>
      <t>T</t>
    </r>
    <r>
      <rPr>
        <vertAlign val="subscript"/>
        <sz val="10"/>
        <rFont val="Times New Roman"/>
        <family val="1"/>
      </rPr>
      <t>ME</t>
    </r>
  </si>
  <si>
    <r>
      <t xml:space="preserve"> C</t>
    </r>
    <r>
      <rPr>
        <vertAlign val="subscript"/>
        <sz val="10"/>
        <rFont val="Times New Roman"/>
        <family val="1"/>
      </rPr>
      <t>ME</t>
    </r>
  </si>
  <si>
    <r>
      <t>X</t>
    </r>
    <r>
      <rPr>
        <vertAlign val="subscript"/>
        <sz val="10"/>
        <rFont val="Times New Roman"/>
        <family val="1"/>
      </rPr>
      <t>PAO,PPL</t>
    </r>
  </si>
  <si>
    <r>
      <t xml:space="preserve"> PP</t>
    </r>
    <r>
      <rPr>
        <vertAlign val="subscript"/>
        <sz val="10"/>
        <rFont val="Times New Roman"/>
        <family val="1"/>
      </rPr>
      <t>LO</t>
    </r>
  </si>
  <si>
    <r>
      <t>X</t>
    </r>
    <r>
      <rPr>
        <vertAlign val="subscript"/>
        <sz val="10"/>
        <rFont val="Times New Roman"/>
        <family val="1"/>
      </rPr>
      <t>PAO,PPH</t>
    </r>
  </si>
  <si>
    <r>
      <t xml:space="preserve"> PP</t>
    </r>
    <r>
      <rPr>
        <vertAlign val="subscript"/>
        <sz val="10"/>
        <rFont val="Times New Roman"/>
        <family val="1"/>
      </rPr>
      <t>HI</t>
    </r>
  </si>
  <si>
    <r>
      <t>X</t>
    </r>
    <r>
      <rPr>
        <vertAlign val="subscript"/>
        <sz val="10"/>
        <rFont val="Times New Roman"/>
        <family val="1"/>
      </rPr>
      <t>PAO,PP</t>
    </r>
  </si>
  <si>
    <r>
      <t xml:space="preserve"> X</t>
    </r>
    <r>
      <rPr>
        <vertAlign val="subscript"/>
        <sz val="10"/>
        <rFont val="Times New Roman"/>
        <family val="1"/>
      </rPr>
      <t>PP</t>
    </r>
  </si>
  <si>
    <r>
      <t>X</t>
    </r>
    <r>
      <rPr>
        <vertAlign val="subscript"/>
        <sz val="10"/>
        <rFont val="Times New Roman"/>
        <family val="1"/>
      </rPr>
      <t>IG</t>
    </r>
  </si>
  <si>
    <r>
      <t>X</t>
    </r>
    <r>
      <rPr>
        <vertAlign val="subscript"/>
        <sz val="10"/>
        <rFont val="Times New Roman"/>
        <family val="1"/>
      </rPr>
      <t>B_P</t>
    </r>
  </si>
  <si>
    <r>
      <t xml:space="preserve"> X</t>
    </r>
    <r>
      <rPr>
        <vertAlign val="subscript"/>
        <sz val="10"/>
        <rFont val="Times New Roman"/>
        <family val="1"/>
      </rPr>
      <t>OP</t>
    </r>
  </si>
  <si>
    <r>
      <t>X</t>
    </r>
    <r>
      <rPr>
        <vertAlign val="subscript"/>
        <sz val="10"/>
        <rFont val="Times New Roman"/>
        <family val="1"/>
      </rPr>
      <t>U_P</t>
    </r>
  </si>
  <si>
    <r>
      <t xml:space="preserve"> X</t>
    </r>
    <r>
      <rPr>
        <vertAlign val="subscript"/>
        <sz val="10"/>
        <rFont val="Times New Roman"/>
        <family val="1"/>
      </rPr>
      <t>IP</t>
    </r>
  </si>
  <si>
    <r>
      <t>C</t>
    </r>
    <r>
      <rPr>
        <vertAlign val="subscript"/>
        <sz val="10"/>
        <rFont val="Times New Roman"/>
        <family val="1"/>
      </rPr>
      <t>INF,IG</t>
    </r>
  </si>
  <si>
    <r>
      <t>C</t>
    </r>
    <r>
      <rPr>
        <vertAlign val="subscript"/>
        <sz val="10"/>
        <rFont val="Times New Roman"/>
        <family val="1"/>
      </rPr>
      <t>ORG,IG</t>
    </r>
  </si>
  <si>
    <r>
      <t>C</t>
    </r>
    <r>
      <rPr>
        <vertAlign val="subscript"/>
        <sz val="10"/>
        <rFont val="Times New Roman"/>
        <family val="1"/>
      </rPr>
      <t>IG</t>
    </r>
  </si>
  <si>
    <r>
      <t>S</t>
    </r>
    <r>
      <rPr>
        <vertAlign val="subscript"/>
        <sz val="10"/>
        <rFont val="Times New Roman"/>
        <family val="1"/>
      </rPr>
      <t>NH4</t>
    </r>
  </si>
  <si>
    <r>
      <t>Ammonia (NH</t>
    </r>
    <r>
      <rPr>
        <vertAlign val="subscript"/>
        <sz val="10"/>
        <rFont val="Times New Roman"/>
        <family val="1"/>
      </rPr>
      <t>4</t>
    </r>
    <r>
      <rPr>
        <vertAlign val="superscript"/>
        <sz val="10"/>
        <rFont val="Times New Roman"/>
        <family val="1"/>
      </rPr>
      <t>+</t>
    </r>
    <r>
      <rPr>
        <sz val="10"/>
        <rFont val="Times New Roman"/>
        <family val="1"/>
      </rPr>
      <t xml:space="preserve"> + NH</t>
    </r>
    <r>
      <rPr>
        <vertAlign val="subscript"/>
        <sz val="10"/>
        <rFont val="Times New Roman"/>
        <family val="1"/>
      </rPr>
      <t>3</t>
    </r>
    <r>
      <rPr>
        <sz val="10"/>
        <rFont val="Times New Roman"/>
        <family val="1"/>
      </rPr>
      <t>)</t>
    </r>
  </si>
  <si>
    <r>
      <t xml:space="preserve"> S</t>
    </r>
    <r>
      <rPr>
        <vertAlign val="subscript"/>
        <sz val="10"/>
        <rFont val="Times New Roman"/>
        <family val="1"/>
      </rPr>
      <t>NH</t>
    </r>
  </si>
  <si>
    <r>
      <t xml:space="preserve"> S</t>
    </r>
    <r>
      <rPr>
        <vertAlign val="subscript"/>
        <sz val="10"/>
        <rFont val="Times New Roman"/>
        <family val="1"/>
      </rPr>
      <t>NH3</t>
    </r>
  </si>
  <si>
    <r>
      <t xml:space="preserve"> S</t>
    </r>
    <r>
      <rPr>
        <vertAlign val="subscript"/>
        <sz val="10"/>
        <rFont val="Times New Roman"/>
        <family val="1"/>
      </rPr>
      <t>NH4</t>
    </r>
  </si>
  <si>
    <r>
      <t>S</t>
    </r>
    <r>
      <rPr>
        <vertAlign val="subscript"/>
        <sz val="10"/>
        <rFont val="Times New Roman"/>
        <family val="1"/>
      </rPr>
      <t>NO2</t>
    </r>
  </si>
  <si>
    <r>
      <t>Nitrite (HNO</t>
    </r>
    <r>
      <rPr>
        <vertAlign val="subscript"/>
        <sz val="10"/>
        <rFont val="Times New Roman"/>
        <family val="1"/>
      </rPr>
      <t>2</t>
    </r>
    <r>
      <rPr>
        <sz val="10"/>
        <rFont val="Times New Roman"/>
        <family val="1"/>
      </rPr>
      <t xml:space="preserve"> + NO</t>
    </r>
    <r>
      <rPr>
        <vertAlign val="subscript"/>
        <sz val="10"/>
        <rFont val="Times New Roman"/>
        <family val="1"/>
      </rPr>
      <t>2</t>
    </r>
    <r>
      <rPr>
        <vertAlign val="superscript"/>
        <sz val="10"/>
        <rFont val="Times New Roman"/>
        <family val="1"/>
      </rPr>
      <t>-</t>
    </r>
    <r>
      <rPr>
        <sz val="10"/>
        <rFont val="Times New Roman"/>
        <family val="1"/>
      </rPr>
      <t>)</t>
    </r>
  </si>
  <si>
    <r>
      <t xml:space="preserve"> S</t>
    </r>
    <r>
      <rPr>
        <vertAlign val="subscript"/>
        <sz val="10"/>
        <rFont val="Times New Roman"/>
        <family val="1"/>
      </rPr>
      <t>NO2</t>
    </r>
  </si>
  <si>
    <r>
      <t>S</t>
    </r>
    <r>
      <rPr>
        <vertAlign val="subscript"/>
        <sz val="10"/>
        <rFont val="Times New Roman"/>
        <family val="1"/>
      </rPr>
      <t>NO3</t>
    </r>
  </si>
  <si>
    <r>
      <t>Nitrate (HNO</t>
    </r>
    <r>
      <rPr>
        <vertAlign val="subscript"/>
        <sz val="10"/>
        <rFont val="Times New Roman"/>
        <family val="1"/>
      </rPr>
      <t>3</t>
    </r>
    <r>
      <rPr>
        <sz val="10"/>
        <rFont val="Times New Roman"/>
        <family val="1"/>
      </rPr>
      <t xml:space="preserve"> + NO</t>
    </r>
    <r>
      <rPr>
        <vertAlign val="subscript"/>
        <sz val="10"/>
        <rFont val="Times New Roman"/>
        <family val="1"/>
      </rPr>
      <t>3</t>
    </r>
    <r>
      <rPr>
        <vertAlign val="superscript"/>
        <sz val="10"/>
        <rFont val="Times New Roman"/>
        <family val="1"/>
      </rPr>
      <t>-</t>
    </r>
    <r>
      <rPr>
        <sz val="10"/>
        <rFont val="Times New Roman"/>
        <family val="1"/>
      </rPr>
      <t>)</t>
    </r>
  </si>
  <si>
    <r>
      <t xml:space="preserve"> S</t>
    </r>
    <r>
      <rPr>
        <vertAlign val="subscript"/>
        <sz val="10"/>
        <rFont val="Times New Roman"/>
        <family val="1"/>
      </rPr>
      <t>NO3</t>
    </r>
  </si>
  <si>
    <r>
      <t>S</t>
    </r>
    <r>
      <rPr>
        <vertAlign val="subscript"/>
        <sz val="10"/>
        <rFont val="Times New Roman"/>
        <family val="1"/>
      </rPr>
      <t>NOX</t>
    </r>
  </si>
  <si>
    <r>
      <t xml:space="preserve"> S</t>
    </r>
    <r>
      <rPr>
        <vertAlign val="subscript"/>
        <sz val="10"/>
        <rFont val="Times New Roman"/>
        <family val="1"/>
      </rPr>
      <t>NO</t>
    </r>
  </si>
  <si>
    <r>
      <t>S</t>
    </r>
    <r>
      <rPr>
        <vertAlign val="subscript"/>
        <sz val="10"/>
        <rFont val="Times New Roman"/>
        <family val="1"/>
      </rPr>
      <t>PO4</t>
    </r>
  </si>
  <si>
    <r>
      <t xml:space="preserve"> S</t>
    </r>
    <r>
      <rPr>
        <vertAlign val="subscript"/>
        <sz val="10"/>
        <rFont val="Times New Roman"/>
        <family val="1"/>
      </rPr>
      <t>P</t>
    </r>
  </si>
  <si>
    <r>
      <t xml:space="preserve"> S</t>
    </r>
    <r>
      <rPr>
        <vertAlign val="subscript"/>
        <sz val="10"/>
        <rFont val="Times New Roman"/>
        <family val="1"/>
      </rPr>
      <t>PO4</t>
    </r>
  </si>
  <si>
    <r>
      <t>S</t>
    </r>
    <r>
      <rPr>
        <vertAlign val="subscript"/>
        <sz val="10"/>
        <rFont val="Times New Roman"/>
        <family val="1"/>
      </rPr>
      <t>PO4</t>
    </r>
    <r>
      <rPr>
        <sz val="10"/>
        <rFont val="Times New Roman"/>
        <family val="1"/>
      </rPr>
      <t xml:space="preserve"> + </t>
    </r>
    <r>
      <rPr>
        <i/>
        <sz val="10"/>
        <rFont val="Times New Roman"/>
        <family val="1"/>
      </rPr>
      <t>X</t>
    </r>
    <r>
      <rPr>
        <vertAlign val="subscript"/>
        <sz val="10"/>
        <rFont val="Times New Roman"/>
        <family val="1"/>
      </rPr>
      <t>MEP</t>
    </r>
  </si>
  <si>
    <r>
      <t xml:space="preserve"> cPO</t>
    </r>
    <r>
      <rPr>
        <vertAlign val="subscript"/>
        <sz val="10"/>
        <rFont val="Times New Roman"/>
        <family val="1"/>
      </rPr>
      <t>4</t>
    </r>
  </si>
  <si>
    <r>
      <t>S</t>
    </r>
    <r>
      <rPr>
        <vertAlign val="subscript"/>
        <sz val="10"/>
        <rFont val="Times New Roman"/>
        <family val="1"/>
      </rPr>
      <t>SO4</t>
    </r>
  </si>
  <si>
    <r>
      <t>S</t>
    </r>
    <r>
      <rPr>
        <vertAlign val="subscript"/>
        <sz val="10"/>
        <rFont val="Times New Roman"/>
        <family val="1"/>
      </rPr>
      <t>CA</t>
    </r>
  </si>
  <si>
    <r>
      <t xml:space="preserve"> S</t>
    </r>
    <r>
      <rPr>
        <vertAlign val="subscript"/>
        <sz val="10"/>
        <rFont val="Times New Roman"/>
        <family val="1"/>
      </rPr>
      <t>CA</t>
    </r>
  </si>
  <si>
    <r>
      <t>S</t>
    </r>
    <r>
      <rPr>
        <vertAlign val="subscript"/>
        <sz val="10"/>
        <rFont val="Times New Roman"/>
        <family val="1"/>
      </rPr>
      <t>MG</t>
    </r>
  </si>
  <si>
    <r>
      <t>S</t>
    </r>
    <r>
      <rPr>
        <vertAlign val="subscript"/>
        <sz val="10"/>
        <rFont val="Times New Roman"/>
        <family val="1"/>
      </rPr>
      <t>ORG,IG</t>
    </r>
  </si>
  <si>
    <r>
      <t>X</t>
    </r>
    <r>
      <rPr>
        <vertAlign val="subscript"/>
        <sz val="10"/>
        <rFont val="Times New Roman"/>
        <family val="1"/>
      </rPr>
      <t>PAO,PP,CAT</t>
    </r>
  </si>
  <si>
    <r>
      <t xml:space="preserve"> X</t>
    </r>
    <r>
      <rPr>
        <vertAlign val="subscript"/>
        <sz val="10"/>
        <rFont val="Times New Roman"/>
        <family val="1"/>
      </rPr>
      <t>PPCat</t>
    </r>
  </si>
  <si>
    <r>
      <t>S</t>
    </r>
    <r>
      <rPr>
        <vertAlign val="subscript"/>
        <sz val="10"/>
        <rFont val="Times New Roman"/>
        <family val="1"/>
      </rPr>
      <t>CAT</t>
    </r>
  </si>
  <si>
    <r>
      <t xml:space="preserve"> S</t>
    </r>
    <r>
      <rPr>
        <vertAlign val="subscript"/>
        <sz val="10"/>
        <rFont val="Times New Roman"/>
        <family val="1"/>
      </rPr>
      <t>CAT</t>
    </r>
  </si>
  <si>
    <r>
      <t>S</t>
    </r>
    <r>
      <rPr>
        <vertAlign val="subscript"/>
        <sz val="10"/>
        <rFont val="Times New Roman"/>
        <family val="1"/>
      </rPr>
      <t>AN</t>
    </r>
  </si>
  <si>
    <r>
      <t xml:space="preserve"> S</t>
    </r>
    <r>
      <rPr>
        <vertAlign val="subscript"/>
        <sz val="10"/>
        <rFont val="Times New Roman"/>
        <family val="1"/>
      </rPr>
      <t>AN</t>
    </r>
  </si>
  <si>
    <r>
      <t>S</t>
    </r>
    <r>
      <rPr>
        <vertAlign val="subscript"/>
        <sz val="10"/>
        <rFont val="Times New Roman"/>
        <family val="1"/>
      </rPr>
      <t>N2</t>
    </r>
  </si>
  <si>
    <r>
      <t xml:space="preserve"> S</t>
    </r>
    <r>
      <rPr>
        <vertAlign val="subscript"/>
        <sz val="10"/>
        <rFont val="Times New Roman"/>
        <family val="1"/>
      </rPr>
      <t>NN</t>
    </r>
  </si>
  <si>
    <r>
      <t xml:space="preserve"> S</t>
    </r>
    <r>
      <rPr>
        <vertAlign val="subscript"/>
        <sz val="10"/>
        <rFont val="Times New Roman"/>
        <family val="1"/>
      </rPr>
      <t>N2</t>
    </r>
  </si>
  <si>
    <r>
      <t>S</t>
    </r>
    <r>
      <rPr>
        <vertAlign val="subscript"/>
        <sz val="10"/>
        <rFont val="Times New Roman"/>
        <family val="1"/>
      </rPr>
      <t>ALK</t>
    </r>
  </si>
  <si>
    <r>
      <t xml:space="preserve"> S</t>
    </r>
    <r>
      <rPr>
        <vertAlign val="subscript"/>
        <sz val="10"/>
        <rFont val="Times New Roman"/>
        <family val="1"/>
      </rPr>
      <t>ALK</t>
    </r>
  </si>
  <si>
    <r>
      <t>S</t>
    </r>
    <r>
      <rPr>
        <vertAlign val="subscript"/>
        <sz val="10"/>
        <rFont val="Times New Roman"/>
        <family val="1"/>
      </rPr>
      <t>TIC</t>
    </r>
  </si>
  <si>
    <r>
      <t xml:space="preserve"> S</t>
    </r>
    <r>
      <rPr>
        <vertAlign val="subscript"/>
        <sz val="10"/>
        <rFont val="Times New Roman"/>
        <family val="1"/>
      </rPr>
      <t>HCO</t>
    </r>
  </si>
  <si>
    <r>
      <t xml:space="preserve"> S</t>
    </r>
    <r>
      <rPr>
        <vertAlign val="subscript"/>
        <sz val="10"/>
        <rFont val="Times New Roman"/>
        <family val="1"/>
      </rPr>
      <t>CO2t</t>
    </r>
  </si>
  <si>
    <r>
      <t>S</t>
    </r>
    <r>
      <rPr>
        <vertAlign val="subscript"/>
        <sz val="10"/>
        <rFont val="Times New Roman"/>
        <family val="1"/>
      </rPr>
      <t>H2O</t>
    </r>
  </si>
  <si>
    <r>
      <t xml:space="preserve"> S</t>
    </r>
    <r>
      <rPr>
        <vertAlign val="subscript"/>
        <sz val="10"/>
        <rFont val="Times New Roman"/>
        <family val="1"/>
      </rPr>
      <t>H2O</t>
    </r>
  </si>
  <si>
    <r>
      <t>X</t>
    </r>
    <r>
      <rPr>
        <vertAlign val="subscript"/>
        <sz val="10"/>
        <rFont val="Times New Roman"/>
        <family val="1"/>
      </rPr>
      <t>ORG_R</t>
    </r>
  </si>
  <si>
    <r>
      <t>X</t>
    </r>
    <r>
      <rPr>
        <vertAlign val="subscript"/>
        <sz val="10"/>
        <rFont val="Times New Roman"/>
        <family val="1"/>
      </rPr>
      <t>IG_R</t>
    </r>
  </si>
  <si>
    <r>
      <t>X</t>
    </r>
    <r>
      <rPr>
        <vertAlign val="subscript"/>
        <sz val="10"/>
        <rFont val="Times New Roman"/>
        <family val="1"/>
      </rPr>
      <t>T_R</t>
    </r>
  </si>
  <si>
    <r>
      <t xml:space="preserve"> X</t>
    </r>
    <r>
      <rPr>
        <vertAlign val="subscript"/>
        <sz val="10"/>
        <rFont val="Times New Roman"/>
        <family val="1"/>
      </rPr>
      <t>TSS</t>
    </r>
  </si>
  <si>
    <t>mg ISS/L</t>
  </si>
  <si>
    <t>mg ME/L</t>
  </si>
  <si>
    <t>mg Ca/L</t>
  </si>
  <si>
    <t>Liste de symboles pour différents modèles et références</t>
  </si>
  <si>
    <t>Groupe</t>
  </si>
  <si>
    <t>Symbole
proposé</t>
  </si>
  <si>
    <t>Description (anglais)</t>
  </si>
  <si>
    <t>Description (français)</t>
  </si>
  <si>
    <t>Méthane</t>
  </si>
  <si>
    <t>Méthanol</t>
  </si>
  <si>
    <t>Acétate</t>
  </si>
  <si>
    <t>Acides gras volatils</t>
  </si>
  <si>
    <t>Matière organique fermentable</t>
  </si>
  <si>
    <t>Matière soluble non biodégradable de l'affluent</t>
  </si>
  <si>
    <t>Matière soluble non biodégradable de résidus endogènes</t>
  </si>
  <si>
    <t xml:space="preserve">Matière soluble non biodégradable </t>
  </si>
  <si>
    <t>Matière organique soluble</t>
  </si>
  <si>
    <t>Hydrogène dissous</t>
  </si>
  <si>
    <t>Anhydride sulfureux dissous</t>
  </si>
  <si>
    <t>Oxygène dissous</t>
  </si>
  <si>
    <t>Colloidal unbiodegradable endogenous residue</t>
  </si>
  <si>
    <t>Matière particulaire lentement biodégradable de l'affluent</t>
  </si>
  <si>
    <t xml:space="preserve">Matière colloïdale lentement biodégradable </t>
  </si>
  <si>
    <t>Matière colloïdale non biodégradable de l'affluent</t>
  </si>
  <si>
    <t>Matière colloïdale non biodégradable de résidu endogène</t>
  </si>
  <si>
    <t xml:space="preserve">Matière colloïdale non biodégradable </t>
  </si>
  <si>
    <t xml:space="preserve">Matière colloïdale </t>
  </si>
  <si>
    <t>Matière particulaire et colloïdale lentement biodégradable de l'affluent</t>
  </si>
  <si>
    <r>
      <t>Influent  X</t>
    </r>
    <r>
      <rPr>
        <vertAlign val="subscript"/>
        <sz val="10"/>
        <rFont val="Times New Roman"/>
        <family val="1"/>
      </rPr>
      <t>INF,B</t>
    </r>
    <r>
      <rPr>
        <sz val="10"/>
        <rFont val="Times New Roman"/>
        <family val="1"/>
      </rPr>
      <t xml:space="preserve">  instantaneously enmeshed onto the biomass</t>
    </r>
  </si>
  <si>
    <r>
      <t>XC</t>
    </r>
    <r>
      <rPr>
        <vertAlign val="subscript"/>
        <sz val="10"/>
        <rFont val="Times New Roman"/>
        <family val="1"/>
      </rPr>
      <t>INF,B</t>
    </r>
  </si>
  <si>
    <t>Influent slowly biodegradable organics (particulate and colloidal)</t>
  </si>
  <si>
    <t>Matière particulaire lentement biodégradable de l'affluent emmaillée sur la biomasse</t>
  </si>
  <si>
    <r>
      <t>X</t>
    </r>
    <r>
      <rPr>
        <vertAlign val="subscript"/>
        <sz val="10"/>
        <rFont val="Times New Roman"/>
        <family val="1"/>
      </rPr>
      <t>INF,B,ENM</t>
    </r>
    <r>
      <rPr>
        <sz val="10"/>
        <rFont val="Times New Roman"/>
        <family val="1"/>
      </rPr>
      <t xml:space="preserve"> adsorbée ou produite par décomposition de la biomasse</t>
    </r>
  </si>
  <si>
    <t>Polyhydroxyalcanoates (PHA) stockés dans les bactéries déphosphatantes (PAO)</t>
  </si>
  <si>
    <t>Glycogène stocké dans les PAO</t>
  </si>
  <si>
    <t>Glycogène stocké dans les GAO</t>
  </si>
  <si>
    <t>PHA stocké dans les OHO</t>
  </si>
  <si>
    <t>PHA stocké dans les GAO</t>
  </si>
  <si>
    <t xml:space="preserve">PHA et glycogène stockés </t>
  </si>
  <si>
    <t>Matière particulaire organique biodégradable</t>
  </si>
  <si>
    <t>Matière particulaire organique non biodégradable de l'affluent</t>
  </si>
  <si>
    <t>Matière particulaire non biodégradable produite par respiration endogène par les OHO</t>
  </si>
  <si>
    <t>Matière particulaire non biodégradable produite par respiration endogène par les PAO</t>
  </si>
  <si>
    <t>Matière particulaire non biodégradable de résidus endogènes</t>
  </si>
  <si>
    <t xml:space="preserve">Matière particulaire non biodégradable </t>
  </si>
  <si>
    <t>Matière organique particulaire</t>
  </si>
  <si>
    <t>Organismes hétérotrophes ordinaites (OHO)</t>
  </si>
  <si>
    <t>Anaerobic ammonia oxidizing (anamox) organisms (AMO)</t>
  </si>
  <si>
    <r>
      <t>Autotrophic nitrifying organisms (NH</t>
    </r>
    <r>
      <rPr>
        <vertAlign val="subscript"/>
        <sz val="10"/>
        <rFont val="Times New Roman"/>
        <family val="1"/>
      </rPr>
      <t>4</t>
    </r>
    <r>
      <rPr>
        <vertAlign val="superscript"/>
        <sz val="10"/>
        <rFont val="Times New Roman"/>
        <family val="1"/>
      </rPr>
      <t>+</t>
    </r>
    <r>
      <rPr>
        <sz val="10"/>
        <rFont val="Times New Roman"/>
        <family val="1"/>
      </rPr>
      <t xml:space="preserve"> to NO</t>
    </r>
    <r>
      <rPr>
        <vertAlign val="subscript"/>
        <sz val="10"/>
        <rFont val="Times New Roman"/>
        <family val="1"/>
      </rPr>
      <t>3</t>
    </r>
    <r>
      <rPr>
        <vertAlign val="superscript"/>
        <sz val="10"/>
        <rFont val="Times New Roman"/>
        <family val="1"/>
      </rPr>
      <t>-</t>
    </r>
    <r>
      <rPr>
        <sz val="10"/>
        <rFont val="Times New Roman"/>
        <family val="1"/>
      </rPr>
      <t>) (ANO)</t>
    </r>
  </si>
  <si>
    <t>Nitrite oxidizing organisms (NOO)</t>
  </si>
  <si>
    <t>Ammonia oxidizing organisms (AOO)</t>
  </si>
  <si>
    <t>Organismes oxydant l'ammoniaque (AOO)</t>
  </si>
  <si>
    <t>Organismes oxydant le nitrite (NOO)</t>
  </si>
  <si>
    <r>
      <t>Organismes autotrophes nitrifiants (NH</t>
    </r>
    <r>
      <rPr>
        <vertAlign val="subscript"/>
        <sz val="10"/>
        <rFont val="Times New Roman"/>
        <family val="1"/>
      </rPr>
      <t>4</t>
    </r>
    <r>
      <rPr>
        <vertAlign val="superscript"/>
        <sz val="10"/>
        <rFont val="Times New Roman"/>
        <family val="1"/>
      </rPr>
      <t>+</t>
    </r>
    <r>
      <rPr>
        <sz val="10"/>
        <rFont val="Times New Roman"/>
        <family val="1"/>
      </rPr>
      <t xml:space="preserve"> à NO</t>
    </r>
    <r>
      <rPr>
        <vertAlign val="subscript"/>
        <sz val="10"/>
        <rFont val="Times New Roman"/>
        <family val="1"/>
      </rPr>
      <t>3</t>
    </r>
    <r>
      <rPr>
        <vertAlign val="superscript"/>
        <sz val="10"/>
        <rFont val="Times New Roman"/>
        <family val="1"/>
      </rPr>
      <t>-</t>
    </r>
    <r>
      <rPr>
        <sz val="10"/>
        <rFont val="Times New Roman"/>
        <family val="1"/>
      </rPr>
      <t>) (ANO)</t>
    </r>
  </si>
  <si>
    <t>Organismes oxydant l'ammoniaque en conditions anaérobies (anamox; AMO)</t>
  </si>
  <si>
    <t>Organismes accumulant le phosphore (PAO)</t>
  </si>
  <si>
    <t>Organismes accumulant le glycogène (GAO)</t>
  </si>
  <si>
    <t>Organismes méthanogènes acétoclastes (ACO)</t>
  </si>
  <si>
    <t>Organismes méthylotrophes anoxies utilisant le méthanol (MEOLO)</t>
  </si>
  <si>
    <t>Anoxic methanol utilizing methylotrophic organisms (MEOLO)</t>
  </si>
  <si>
    <t>Acetoclastic methanogenic organisms (ACO)</t>
  </si>
  <si>
    <t>Hydrogenotrophic methanogenic organisms (HMO)</t>
  </si>
  <si>
    <t>Propionic acetogenic organisms (PRO)</t>
  </si>
  <si>
    <t>Sulfate reducing organisms (SRO)</t>
  </si>
  <si>
    <t>Organisms (biomass; BIOM)</t>
  </si>
  <si>
    <t>Organismes hydrogénotrophes méthanogènes (HMO)</t>
  </si>
  <si>
    <t>Organismes propionotrophes acétogènes (PRO)</t>
  </si>
  <si>
    <t>Organismes sulfatoréducteurs (SRO)</t>
  </si>
  <si>
    <t>Organismes (biomasse; BIOM)</t>
  </si>
  <si>
    <t>Matière inorganique particulaire de l'affluent (excluant les autres var. d'état)</t>
  </si>
  <si>
    <t>Matière inorganique particulaire associée à la matière organique (incluant les organismes)</t>
  </si>
  <si>
    <t>Struvite (phosphate d'ammoniaque de magnésium)</t>
  </si>
  <si>
    <t>Hydroxydicalcium phosphate</t>
  </si>
  <si>
    <t>Précipités de phosphate de fer</t>
  </si>
  <si>
    <t>Précipités de phosphate d'aluminium</t>
  </si>
  <si>
    <t>Précipités de phosphate métalliques</t>
  </si>
  <si>
    <t>Précipités d'hydroxydes d'aluminium</t>
  </si>
  <si>
    <t>Précipités d'hydroxydes de fer</t>
  </si>
  <si>
    <t>Précipités d'hydroxydes métalliques</t>
  </si>
  <si>
    <t>Métaux (Al - Fe)</t>
  </si>
  <si>
    <t>Polyphosphates intracellulaires relargables par les PAO</t>
  </si>
  <si>
    <t>Polyphosphates intracellulaires non relargables par les PAO</t>
  </si>
  <si>
    <t>Polyphosphates intracellulaires stockés par les PAO</t>
  </si>
  <si>
    <t>Matière particulaire inorganique</t>
  </si>
  <si>
    <t>Teneur en phosphore de la matière particulaire biodégradable</t>
  </si>
  <si>
    <t>Teneur en phosphore de la matière particulaire non biodégradable</t>
  </si>
  <si>
    <t>Matière inorganique colloïdale de l'affluent (excluant les autres var. d'état)</t>
  </si>
  <si>
    <t>Matière inorganique colloïdale</t>
  </si>
  <si>
    <t xml:space="preserve">Matière inorganique colloïdale associée à la matière organique </t>
  </si>
  <si>
    <r>
      <t>Ammoniaque (NH</t>
    </r>
    <r>
      <rPr>
        <vertAlign val="subscript"/>
        <sz val="10"/>
        <rFont val="Times New Roman"/>
        <family val="1"/>
      </rPr>
      <t>4</t>
    </r>
    <r>
      <rPr>
        <vertAlign val="superscript"/>
        <sz val="10"/>
        <rFont val="Times New Roman"/>
        <family val="1"/>
      </rPr>
      <t>+</t>
    </r>
    <r>
      <rPr>
        <sz val="10"/>
        <rFont val="Times New Roman"/>
        <family val="1"/>
      </rPr>
      <t xml:space="preserve"> + NH</t>
    </r>
    <r>
      <rPr>
        <vertAlign val="subscript"/>
        <sz val="10"/>
        <rFont val="Times New Roman"/>
        <family val="1"/>
      </rPr>
      <t>3</t>
    </r>
    <r>
      <rPr>
        <sz val="10"/>
        <rFont val="Times New Roman"/>
        <family val="1"/>
      </rPr>
      <t>)</t>
    </r>
  </si>
  <si>
    <r>
      <t>Phosphate inorganique soluble (o-PO</t>
    </r>
    <r>
      <rPr>
        <vertAlign val="subscript"/>
        <sz val="10"/>
        <rFont val="Times New Roman"/>
        <family val="1"/>
      </rPr>
      <t>4</t>
    </r>
    <r>
      <rPr>
        <sz val="10"/>
        <rFont val="Times New Roman"/>
        <family val="1"/>
      </rPr>
      <t>)</t>
    </r>
  </si>
  <si>
    <r>
      <t>Inorganic soluble phosphorus 
(o-PO</t>
    </r>
    <r>
      <rPr>
        <vertAlign val="subscript"/>
        <sz val="10"/>
        <rFont val="Times New Roman"/>
        <family val="1"/>
      </rPr>
      <t>4</t>
    </r>
    <r>
      <rPr>
        <sz val="10"/>
        <rFont val="Times New Roman"/>
        <family val="1"/>
      </rPr>
      <t>)</t>
    </r>
  </si>
  <si>
    <t>Phosphate total (P soluble + P métallique)</t>
  </si>
  <si>
    <t>Magnésium</t>
  </si>
  <si>
    <t>Matière inorganique soluble associée à la matière organique</t>
  </si>
  <si>
    <t>Cations liés aux polyphosphates intracellulaires</t>
  </si>
  <si>
    <t>Autres cations (bases fortes)</t>
  </si>
  <si>
    <t>Autres anion (acides forts)</t>
  </si>
  <si>
    <t>Diazote soluble</t>
  </si>
  <si>
    <t>Soluble dinitrogen</t>
  </si>
  <si>
    <t>Alkalinité</t>
  </si>
  <si>
    <r>
      <t>mg CaCO</t>
    </r>
    <r>
      <rPr>
        <vertAlign val="subscript"/>
        <sz val="10"/>
        <rFont val="Times New Roman"/>
        <family val="1"/>
      </rPr>
      <t>3</t>
    </r>
    <r>
      <rPr>
        <sz val="10"/>
        <rFont val="Times New Roman"/>
        <family val="1"/>
      </rPr>
      <t>/L</t>
    </r>
  </si>
  <si>
    <t>mmol C/L</t>
  </si>
  <si>
    <t>mg Mg/L</t>
  </si>
  <si>
    <r>
      <t>mg H</t>
    </r>
    <r>
      <rPr>
        <vertAlign val="subscript"/>
        <sz val="10"/>
        <rFont val="Times New Roman"/>
        <family val="1"/>
      </rPr>
      <t>2</t>
    </r>
    <r>
      <rPr>
        <sz val="10"/>
        <rFont val="Times New Roman"/>
        <family val="1"/>
      </rPr>
      <t>O/L</t>
    </r>
  </si>
  <si>
    <t>Carbone inorganique total</t>
  </si>
  <si>
    <t>Eau</t>
  </si>
  <si>
    <t>Matières volatiles (organiques) en suspension</t>
  </si>
  <si>
    <t>Matières inorganiques en suspension</t>
  </si>
  <si>
    <t>Matières en suspension</t>
  </si>
  <si>
    <t>M&amp;EA (2014)</t>
  </si>
  <si>
    <t>Organismes</t>
  </si>
  <si>
    <t>Matière inorganique</t>
  </si>
  <si>
    <t>Matières solides</t>
  </si>
  <si>
    <r>
      <t>S</t>
    </r>
    <r>
      <rPr>
        <vertAlign val="subscript"/>
        <sz val="10"/>
        <rFont val="Times New Roman"/>
        <family val="1"/>
      </rPr>
      <t>BOD</t>
    </r>
  </si>
  <si>
    <r>
      <t>mg O</t>
    </r>
    <r>
      <rPr>
        <vertAlign val="subscript"/>
        <sz val="10"/>
        <rFont val="Times New Roman"/>
        <family val="1"/>
      </rPr>
      <t>2</t>
    </r>
    <r>
      <rPr>
        <sz val="10"/>
        <rFont val="Times New Roman"/>
        <family val="1"/>
      </rPr>
      <t>/L</t>
    </r>
  </si>
  <si>
    <r>
      <t>S</t>
    </r>
    <r>
      <rPr>
        <vertAlign val="subscript"/>
        <sz val="10"/>
        <rFont val="Times New Roman"/>
        <family val="1"/>
      </rPr>
      <t>BODU</t>
    </r>
  </si>
  <si>
    <t>Demande biochimique en oxygène carbonée ultime (en 20 jours)</t>
  </si>
  <si>
    <t>Ultimate carbonaceous biochemical oxygen demand (in 20 days)</t>
  </si>
  <si>
    <t>Demande chimique en oxygène soluble</t>
  </si>
  <si>
    <t>Soluble chemical oxygen demand</t>
  </si>
  <si>
    <r>
      <t>S</t>
    </r>
    <r>
      <rPr>
        <vertAlign val="subscript"/>
        <sz val="10"/>
        <rFont val="Times New Roman"/>
        <family val="1"/>
      </rPr>
      <t>Ig</t>
    </r>
  </si>
  <si>
    <t xml:space="preserve">Matière inorganique soluble  </t>
  </si>
  <si>
    <t>Inorganique soluble matter</t>
  </si>
  <si>
    <t>M&amp;EA</t>
  </si>
  <si>
    <r>
      <t xml:space="preserve">ASM1: Henze </t>
    </r>
    <r>
      <rPr>
        <i/>
        <sz val="10"/>
        <rFont val="Times New Roman"/>
        <family val="1"/>
      </rPr>
      <t xml:space="preserve">et al. </t>
    </r>
    <r>
      <rPr>
        <sz val="10"/>
        <rFont val="Times New Roman"/>
        <family val="1"/>
      </rPr>
      <t>(1987)</t>
    </r>
  </si>
  <si>
    <r>
      <t xml:space="preserve">ASM2D: Henze </t>
    </r>
    <r>
      <rPr>
        <i/>
        <sz val="10"/>
        <rFont val="Times New Roman"/>
        <family val="1"/>
      </rPr>
      <t>et al.</t>
    </r>
    <r>
      <rPr>
        <sz val="10"/>
        <rFont val="Times New Roman"/>
        <family val="1"/>
      </rPr>
      <t xml:space="preserve"> (1999)</t>
    </r>
  </si>
  <si>
    <r>
      <t xml:space="preserve">ASM3-P: Rieger </t>
    </r>
    <r>
      <rPr>
        <i/>
        <sz val="10"/>
        <rFont val="Times New Roman"/>
        <family val="1"/>
      </rPr>
      <t>et al.</t>
    </r>
    <r>
      <rPr>
        <sz val="10"/>
        <rFont val="Times New Roman"/>
        <family val="1"/>
      </rPr>
      <t xml:space="preserve"> (2001)</t>
    </r>
  </si>
  <si>
    <t>General ASDM: EnviroSim (2007)</t>
  </si>
  <si>
    <r>
      <t xml:space="preserve">UCTPHO+: Hu </t>
    </r>
    <r>
      <rPr>
        <i/>
        <sz val="10"/>
        <rFont val="Times New Roman"/>
        <family val="1"/>
      </rPr>
      <t>et al.</t>
    </r>
    <r>
      <rPr>
        <sz val="10"/>
        <rFont val="Times New Roman"/>
        <family val="1"/>
      </rPr>
      <t xml:space="preserve"> (2007)</t>
    </r>
  </si>
  <si>
    <r>
      <t xml:space="preserve">TUDP: de Kreuk </t>
    </r>
    <r>
      <rPr>
        <i/>
        <sz val="10"/>
        <rFont val="Times New Roman"/>
        <family val="1"/>
      </rPr>
      <t>et al.</t>
    </r>
    <r>
      <rPr>
        <sz val="10"/>
        <rFont val="Times New Roman"/>
        <family val="1"/>
      </rPr>
      <t xml:space="preserve"> (2007)</t>
    </r>
  </si>
  <si>
    <t>Références :</t>
  </si>
  <si>
    <r>
      <t>BOD</t>
    </r>
    <r>
      <rPr>
        <vertAlign val="subscript"/>
        <sz val="10"/>
        <rFont val="Times New Roman"/>
        <family val="1"/>
      </rPr>
      <t>U</t>
    </r>
  </si>
  <si>
    <t>Matière colloïdale lentement biodégradable de l'affluent</t>
  </si>
  <si>
    <r>
      <t>X</t>
    </r>
    <r>
      <rPr>
        <vertAlign val="subscript"/>
        <sz val="10"/>
        <rFont val="Times New Roman"/>
        <family val="1"/>
      </rPr>
      <t>BODU</t>
    </r>
  </si>
  <si>
    <r>
      <t>X</t>
    </r>
    <r>
      <rPr>
        <vertAlign val="subscript"/>
        <sz val="10"/>
        <rFont val="Times New Roman"/>
        <family val="1"/>
      </rPr>
      <t>COD</t>
    </r>
  </si>
  <si>
    <r>
      <t>X</t>
    </r>
    <r>
      <rPr>
        <vertAlign val="subscript"/>
        <sz val="10"/>
        <rFont val="Times New Roman"/>
        <family val="1"/>
      </rPr>
      <t>BOD</t>
    </r>
  </si>
  <si>
    <t>Demande biochimique en oxygène carbonée en 5 jours soluble</t>
  </si>
  <si>
    <t>Soluble carbonaceous biochemical oxygen demand in 5 days</t>
  </si>
  <si>
    <t>Demande biochimique en oxygène carbonée en 5 jours particulaire</t>
  </si>
  <si>
    <t>Particulate carbonaceous biochemical oxygen demand in 5 days</t>
  </si>
  <si>
    <r>
      <t>S</t>
    </r>
    <r>
      <rPr>
        <i/>
        <vertAlign val="subscript"/>
        <sz val="10"/>
        <rFont val="Times New Roman"/>
        <family val="1"/>
      </rPr>
      <t>COD</t>
    </r>
    <r>
      <rPr>
        <i/>
        <sz val="10"/>
        <rFont val="Times New Roman"/>
        <family val="1"/>
      </rPr>
      <t xml:space="preserve"> (&amp; BOD)</t>
    </r>
  </si>
  <si>
    <r>
      <t>X</t>
    </r>
    <r>
      <rPr>
        <i/>
        <vertAlign val="subscript"/>
        <sz val="10"/>
        <rFont val="Times New Roman"/>
        <family val="1"/>
      </rPr>
      <t xml:space="preserve">COD </t>
    </r>
    <r>
      <rPr>
        <i/>
        <sz val="10"/>
        <rFont val="Times New Roman"/>
        <family val="1"/>
      </rPr>
      <t>et C</t>
    </r>
    <r>
      <rPr>
        <i/>
        <vertAlign val="subscript"/>
        <sz val="10"/>
        <rFont val="Times New Roman"/>
        <family val="1"/>
      </rPr>
      <t xml:space="preserve">COD </t>
    </r>
    <r>
      <rPr>
        <i/>
        <sz val="10"/>
        <rFont val="Times New Roman"/>
        <family val="1"/>
      </rPr>
      <t>(&amp; X</t>
    </r>
    <r>
      <rPr>
        <i/>
        <vertAlign val="subscript"/>
        <sz val="10"/>
        <rFont val="Times New Roman"/>
        <family val="1"/>
      </rPr>
      <t>BOD</t>
    </r>
    <r>
      <rPr>
        <i/>
        <sz val="10"/>
        <rFont val="Times New Roman"/>
        <family val="1"/>
      </rPr>
      <t>)</t>
    </r>
  </si>
  <si>
    <r>
      <t>T</t>
    </r>
    <r>
      <rPr>
        <vertAlign val="subscript"/>
        <sz val="10"/>
        <rFont val="Times New Roman"/>
        <family val="1"/>
      </rPr>
      <t>COD</t>
    </r>
  </si>
  <si>
    <r>
      <t>DBO; DBO</t>
    </r>
    <r>
      <rPr>
        <vertAlign val="subscript"/>
        <sz val="10"/>
        <rFont val="Times New Roman"/>
        <family val="1"/>
      </rPr>
      <t>5</t>
    </r>
    <r>
      <rPr>
        <sz val="10"/>
        <rFont val="Times New Roman"/>
        <family val="1"/>
      </rPr>
      <t>; DBO</t>
    </r>
    <r>
      <rPr>
        <vertAlign val="subscript"/>
        <sz val="10"/>
        <rFont val="Times New Roman"/>
        <family val="1"/>
      </rPr>
      <t>5</t>
    </r>
    <r>
      <rPr>
        <sz val="10"/>
        <rFont val="Times New Roman"/>
        <family val="1"/>
      </rPr>
      <t>C</t>
    </r>
  </si>
  <si>
    <t>Matière organique</t>
  </si>
  <si>
    <t>ASM1</t>
  </si>
  <si>
    <t>ASM2D</t>
  </si>
  <si>
    <t>ASM3P</t>
  </si>
  <si>
    <t>UCTPHO+</t>
  </si>
  <si>
    <t xml:space="preserve">TUDP </t>
  </si>
  <si>
    <t>Autres symboles (anglais)</t>
  </si>
  <si>
    <t>Autres symboles (français)</t>
  </si>
  <si>
    <t xml:space="preserve">Demande biochimique en oxygène carbonée en 5 jours </t>
  </si>
  <si>
    <t>Demande chimique en oxygène</t>
  </si>
  <si>
    <t>Demande biochimique en oxygène carbonée ultime (en 20 jours )</t>
  </si>
  <si>
    <t>Five day carbonaceous biochemical oxygen demand</t>
  </si>
  <si>
    <t>Ultimate carbonaceous biochemical oxygen demand</t>
  </si>
  <si>
    <t>Demande biochimique en oxygène carbonée ultime particulaire</t>
  </si>
  <si>
    <t>Ultimate particulate carbonaceous biochemical oxygen demand</t>
  </si>
  <si>
    <t>Demande chimique en oxygène particulaire</t>
  </si>
  <si>
    <t>Particulate chemical oxygen demand</t>
  </si>
  <si>
    <t>Fixed dissolved solids</t>
  </si>
  <si>
    <t>Total solids</t>
  </si>
  <si>
    <t>Matières solubles inorganiques</t>
  </si>
  <si>
    <t>Matières solubles totales</t>
  </si>
  <si>
    <t>Matières totales</t>
  </si>
  <si>
    <t>Matières volatiles</t>
  </si>
  <si>
    <t>T</t>
  </si>
  <si>
    <t>Matières volatiles solubles</t>
  </si>
  <si>
    <r>
      <t>S</t>
    </r>
    <r>
      <rPr>
        <i/>
        <vertAlign val="subscript"/>
        <sz val="10"/>
        <rFont val="Times New Roman"/>
        <family val="1"/>
      </rPr>
      <t>V</t>
    </r>
    <r>
      <rPr>
        <i/>
        <sz val="10"/>
        <rFont val="Times New Roman"/>
        <family val="1"/>
      </rPr>
      <t xml:space="preserve"> </t>
    </r>
  </si>
  <si>
    <r>
      <t>T</t>
    </r>
    <r>
      <rPr>
        <i/>
        <vertAlign val="subscript"/>
        <sz val="10"/>
        <rFont val="Times New Roman"/>
        <family val="1"/>
      </rPr>
      <t>V</t>
    </r>
  </si>
  <si>
    <t>UBOD</t>
  </si>
  <si>
    <r>
      <t>T</t>
    </r>
    <r>
      <rPr>
        <vertAlign val="subscript"/>
        <sz val="10"/>
        <rFont val="Times New Roman"/>
        <family val="1"/>
      </rPr>
      <t>COD,B</t>
    </r>
  </si>
  <si>
    <t>Demande chimique en oxygène biodégradable</t>
  </si>
  <si>
    <t>Biodegradable chemical oxygen demand</t>
  </si>
  <si>
    <t>Demande chimique en oxygène non biodégradable</t>
  </si>
  <si>
    <t>Unbiodegradable chemical oxygen demand</t>
  </si>
  <si>
    <r>
      <t>CS</t>
    </r>
    <r>
      <rPr>
        <vertAlign val="subscript"/>
        <sz val="10"/>
        <rFont val="Times New Roman"/>
        <family val="1"/>
      </rPr>
      <t>B</t>
    </r>
  </si>
  <si>
    <t>Readily biodegradable organic matter</t>
  </si>
  <si>
    <t>Matière organique rapidement biodégradable</t>
  </si>
  <si>
    <t>Matière soluble (rapidement) biodégradable</t>
  </si>
  <si>
    <t>Soluble (rapidly) biodegradable matter</t>
  </si>
  <si>
    <r>
      <t>X</t>
    </r>
    <r>
      <rPr>
        <i/>
        <vertAlign val="subscript"/>
        <sz val="10"/>
        <rFont val="Times New Roman"/>
        <family val="1"/>
      </rPr>
      <t>U_VSS</t>
    </r>
  </si>
  <si>
    <t>Matières volatiles en suspension non biodégradables</t>
  </si>
  <si>
    <t xml:space="preserve">Unbiodegradable volatile suspended solids </t>
  </si>
  <si>
    <r>
      <t>COD</t>
    </r>
    <r>
      <rPr>
        <vertAlign val="subscript"/>
        <sz val="10"/>
        <rFont val="Times New Roman"/>
        <family val="1"/>
      </rPr>
      <t>B</t>
    </r>
  </si>
  <si>
    <r>
      <t>COD</t>
    </r>
    <r>
      <rPr>
        <vertAlign val="subscript"/>
        <sz val="10"/>
        <rFont val="Times New Roman"/>
        <family val="1"/>
      </rPr>
      <t>U</t>
    </r>
  </si>
  <si>
    <r>
      <t>T</t>
    </r>
    <r>
      <rPr>
        <vertAlign val="subscript"/>
        <sz val="10"/>
        <rFont val="Times New Roman"/>
        <family val="1"/>
      </rPr>
      <t>BOD</t>
    </r>
    <r>
      <rPr>
        <sz val="10"/>
        <rFont val="Times New Roman"/>
        <family val="1"/>
      </rPr>
      <t>; BOD</t>
    </r>
    <r>
      <rPr>
        <vertAlign val="subscript"/>
        <sz val="10"/>
        <rFont val="Times New Roman"/>
        <family val="1"/>
      </rPr>
      <t>5</t>
    </r>
    <r>
      <rPr>
        <sz val="10"/>
        <rFont val="Times New Roman"/>
        <family val="1"/>
      </rPr>
      <t>; CBOD</t>
    </r>
    <r>
      <rPr>
        <vertAlign val="subscript"/>
        <sz val="10"/>
        <rFont val="Times New Roman"/>
        <family val="1"/>
      </rPr>
      <t xml:space="preserve">5 </t>
    </r>
  </si>
  <si>
    <r>
      <t>T</t>
    </r>
    <r>
      <rPr>
        <vertAlign val="subscript"/>
        <sz val="10"/>
        <rFont val="Times New Roman"/>
        <family val="1"/>
      </rPr>
      <t>BODU</t>
    </r>
    <r>
      <rPr>
        <vertAlign val="subscript"/>
        <sz val="10"/>
        <rFont val="Times New Roman"/>
        <family val="1"/>
      </rPr>
      <t>U</t>
    </r>
  </si>
  <si>
    <r>
      <t>T</t>
    </r>
    <r>
      <rPr>
        <vertAlign val="subscript"/>
        <sz val="10"/>
        <rFont val="Times New Roman"/>
        <family val="1"/>
      </rPr>
      <t>COD,U</t>
    </r>
    <r>
      <rPr>
        <sz val="10"/>
        <rFont val="Times New Roman"/>
        <family val="1"/>
      </rPr>
      <t>; UCOD</t>
    </r>
  </si>
  <si>
    <t>GenASDM
(BioWin)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</si>
</sst>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21">
    <font>
      <sz val="10"/>
      <name val="Geneva"/>
    </font>
    <font>
      <b/>
      <sz val="10"/>
      <name val="Geneva"/>
    </font>
    <font>
      <sz val="10"/>
      <name val="Geneva"/>
    </font>
    <font>
      <vertAlign val="subscript"/>
      <sz val="10"/>
      <name val="Geneva"/>
    </font>
    <font>
      <b/>
      <sz val="14"/>
      <name val="Geneva"/>
    </font>
    <font>
      <b/>
      <sz val="12"/>
      <name val="Geneva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vertAlign val="subscript"/>
      <sz val="10"/>
      <name val="Arial"/>
      <family val="2"/>
    </font>
    <font>
      <u/>
      <sz val="10"/>
      <name val="Geneva"/>
    </font>
    <font>
      <vertAlign val="subscript"/>
      <sz val="8.5"/>
      <name val="Arial"/>
      <family val="2"/>
    </font>
    <font>
      <vertAlign val="subscript"/>
      <sz val="11.5"/>
      <name val="Geneva"/>
    </font>
    <font>
      <sz val="10"/>
      <name val="Times New Roman"/>
      <family val="1"/>
    </font>
    <font>
      <b/>
      <sz val="10"/>
      <name val="Times New Roman"/>
      <family val="1"/>
    </font>
    <font>
      <vertAlign val="superscript"/>
      <sz val="10"/>
      <name val="Times New Roman"/>
      <family val="1"/>
    </font>
    <font>
      <i/>
      <sz val="10"/>
      <name val="Times New Roman"/>
      <family val="1"/>
    </font>
    <font>
      <vertAlign val="subscript"/>
      <sz val="10"/>
      <name val="Times New Roman"/>
      <family val="1"/>
    </font>
    <font>
      <i/>
      <vertAlign val="subscript"/>
      <sz val="1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65"/>
        <bgColor indexed="8"/>
      </patternFill>
    </fill>
    <fill>
      <patternFill patternType="solid">
        <fgColor indexed="4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lightGrid"/>
    </fill>
    <fill>
      <patternFill patternType="solid">
        <fgColor rgb="FFDDDDDD"/>
        <bgColor indexed="64"/>
      </patternFill>
    </fill>
  </fills>
  <borders count="8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Dashed">
        <color indexed="64"/>
      </left>
      <right style="medium">
        <color indexed="64"/>
      </right>
      <top style="mediumDashed">
        <color indexed="64"/>
      </top>
      <bottom/>
      <diagonal/>
    </border>
    <border>
      <left style="medium">
        <color indexed="64"/>
      </left>
      <right style="mediumDashed">
        <color indexed="64"/>
      </right>
      <top style="mediumDashed">
        <color indexed="64"/>
      </top>
      <bottom/>
      <diagonal/>
    </border>
    <border>
      <left style="mediumDashed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Dashed">
        <color indexed="64"/>
      </right>
      <top/>
      <bottom/>
      <diagonal/>
    </border>
    <border>
      <left style="medium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mediumDashed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 style="medium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/>
      <diagonal/>
    </border>
    <border>
      <left style="mediumDashed">
        <color indexed="64"/>
      </left>
      <right/>
      <top/>
      <bottom/>
      <diagonal/>
    </border>
    <border>
      <left style="mediumDashed">
        <color indexed="64"/>
      </left>
      <right/>
      <top/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/>
      <diagonal/>
    </border>
    <border>
      <left style="mediumDashed">
        <color indexed="64"/>
      </left>
      <right style="mediumDashed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ck">
        <color rgb="FF003366"/>
      </top>
      <bottom/>
      <diagonal/>
    </border>
    <border>
      <left/>
      <right/>
      <top/>
      <bottom style="thick">
        <color rgb="FF003366"/>
      </bottom>
      <diagonal/>
    </border>
    <border>
      <left/>
      <right/>
      <top style="thick">
        <color rgb="FF003366"/>
      </top>
      <bottom style="thick">
        <color rgb="FF003366"/>
      </bottom>
      <diagonal/>
    </border>
  </borders>
  <cellStyleXfs count="2">
    <xf numFmtId="0" fontId="0" fillId="0" borderId="0"/>
    <xf numFmtId="0" fontId="6" fillId="0" borderId="0"/>
  </cellStyleXfs>
  <cellXfs count="25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/>
    <xf numFmtId="0" fontId="1" fillId="0" borderId="0" xfId="0" applyFont="1" applyBorder="1"/>
    <xf numFmtId="0" fontId="4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Continuous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0" xfId="0" applyFont="1" applyBorder="1" applyAlignment="1">
      <alignment horizontal="left"/>
    </xf>
    <xf numFmtId="0" fontId="5" fillId="0" borderId="0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Continuous"/>
    </xf>
    <xf numFmtId="0" fontId="0" fillId="0" borderId="10" xfId="0" applyBorder="1" applyAlignment="1">
      <alignment horizontal="centerContinuous"/>
    </xf>
    <xf numFmtId="14" fontId="0" fillId="0" borderId="0" xfId="0" applyNumberFormat="1" applyBorder="1" applyAlignment="1">
      <alignment horizontal="left"/>
    </xf>
    <xf numFmtId="0" fontId="0" fillId="2" borderId="2" xfId="0" applyFill="1" applyBorder="1"/>
    <xf numFmtId="0" fontId="3" fillId="0" borderId="0" xfId="0" applyFont="1" applyBorder="1" applyAlignment="1">
      <alignment horizontal="center"/>
    </xf>
    <xf numFmtId="0" fontId="3" fillId="0" borderId="0" xfId="0" applyFont="1" applyBorder="1"/>
    <xf numFmtId="20" fontId="0" fillId="0" borderId="0" xfId="0" applyNumberFormat="1" applyBorder="1" applyAlignment="1">
      <alignment horizontal="left"/>
    </xf>
    <xf numFmtId="0" fontId="1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left"/>
    </xf>
    <xf numFmtId="0" fontId="2" fillId="0" borderId="13" xfId="0" applyFont="1" applyBorder="1" applyAlignment="1">
      <alignment horizontal="center"/>
    </xf>
    <xf numFmtId="0" fontId="0" fillId="0" borderId="13" xfId="0" applyBorder="1"/>
    <xf numFmtId="0" fontId="1" fillId="0" borderId="13" xfId="0" applyFont="1" applyBorder="1" applyAlignment="1">
      <alignment horizontal="center"/>
    </xf>
    <xf numFmtId="0" fontId="2" fillId="0" borderId="13" xfId="0" applyFont="1" applyBorder="1"/>
    <xf numFmtId="0" fontId="0" fillId="0" borderId="13" xfId="0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0" xfId="0" applyBorder="1" applyAlignment="1">
      <alignment horizontal="centerContinuous"/>
    </xf>
    <xf numFmtId="0" fontId="2" fillId="0" borderId="15" xfId="0" applyFont="1" applyFill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13" xfId="0" applyFont="1" applyBorder="1"/>
    <xf numFmtId="165" fontId="0" fillId="0" borderId="13" xfId="0" applyNumberFormat="1" applyBorder="1" applyAlignment="1">
      <alignment horizontal="center"/>
    </xf>
    <xf numFmtId="2" fontId="2" fillId="0" borderId="13" xfId="0" applyNumberFormat="1" applyFont="1" applyBorder="1" applyAlignment="1">
      <alignment horizontal="center"/>
    </xf>
    <xf numFmtId="0" fontId="0" fillId="0" borderId="4" xfId="0" applyBorder="1"/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0" borderId="18" xfId="0" applyBorder="1" applyAlignment="1">
      <alignment horizontal="center"/>
    </xf>
    <xf numFmtId="164" fontId="0" fillId="0" borderId="19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164" fontId="0" fillId="0" borderId="22" xfId="0" applyNumberForma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164" fontId="0" fillId="0" borderId="24" xfId="0" applyNumberFormat="1" applyBorder="1" applyAlignment="1">
      <alignment horizontal="center"/>
    </xf>
    <xf numFmtId="0" fontId="1" fillId="0" borderId="27" xfId="0" applyFont="1" applyBorder="1"/>
    <xf numFmtId="0" fontId="1" fillId="0" borderId="28" xfId="0" applyFont="1" applyBorder="1"/>
    <xf numFmtId="0" fontId="1" fillId="0" borderId="29" xfId="0" applyFont="1" applyBorder="1"/>
    <xf numFmtId="0" fontId="1" fillId="0" borderId="30" xfId="0" applyFont="1" applyBorder="1"/>
    <xf numFmtId="0" fontId="0" fillId="0" borderId="31" xfId="0" applyBorder="1"/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6" fillId="0" borderId="41" xfId="0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6" fillId="0" borderId="43" xfId="0" applyFont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45" xfId="0" applyFont="1" applyBorder="1" applyAlignment="1">
      <alignment horizontal="center"/>
    </xf>
    <xf numFmtId="0" fontId="6" fillId="0" borderId="4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6" fillId="0" borderId="48" xfId="0" applyFont="1" applyBorder="1" applyAlignment="1">
      <alignment horizontal="center"/>
    </xf>
    <xf numFmtId="0" fontId="6" fillId="0" borderId="49" xfId="0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6" fillId="0" borderId="50" xfId="0" applyFont="1" applyBorder="1" applyAlignment="1">
      <alignment horizontal="center"/>
    </xf>
    <xf numFmtId="0" fontId="6" fillId="0" borderId="51" xfId="0" applyFont="1" applyBorder="1" applyAlignment="1">
      <alignment horizontal="center"/>
    </xf>
    <xf numFmtId="0" fontId="6" fillId="0" borderId="52" xfId="0" applyFont="1" applyBorder="1" applyAlignment="1">
      <alignment horizontal="center"/>
    </xf>
    <xf numFmtId="0" fontId="6" fillId="0" borderId="53" xfId="0" applyFont="1" applyBorder="1" applyAlignment="1">
      <alignment horizontal="center"/>
    </xf>
    <xf numFmtId="0" fontId="6" fillId="0" borderId="54" xfId="0" applyFont="1" applyBorder="1" applyAlignment="1">
      <alignment horizontal="center"/>
    </xf>
    <xf numFmtId="0" fontId="6" fillId="0" borderId="55" xfId="0" applyFont="1" applyBorder="1" applyAlignment="1">
      <alignment horizontal="center"/>
    </xf>
    <xf numFmtId="0" fontId="6" fillId="0" borderId="56" xfId="0" applyFont="1" applyBorder="1" applyAlignment="1">
      <alignment horizontal="center"/>
    </xf>
    <xf numFmtId="0" fontId="6" fillId="0" borderId="57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58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6" fillId="0" borderId="59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0" fillId="0" borderId="0" xfId="0" applyAlignment="1">
      <alignment horizontal="left"/>
    </xf>
    <xf numFmtId="0" fontId="7" fillId="0" borderId="0" xfId="0" applyFont="1"/>
    <xf numFmtId="0" fontId="8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left"/>
    </xf>
    <xf numFmtId="0" fontId="6" fillId="0" borderId="0" xfId="0" applyFont="1"/>
    <xf numFmtId="0" fontId="9" fillId="0" borderId="0" xfId="0" applyFont="1" applyAlignment="1">
      <alignment horizontal="left"/>
    </xf>
    <xf numFmtId="0" fontId="8" fillId="0" borderId="0" xfId="0" applyFont="1" applyBorder="1" applyAlignment="1">
      <alignment horizontal="left"/>
    </xf>
    <xf numFmtId="14" fontId="0" fillId="0" borderId="0" xfId="0" applyNumberFormat="1"/>
    <xf numFmtId="0" fontId="8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8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  <xf numFmtId="0" fontId="10" fillId="0" borderId="0" xfId="0" applyFont="1" applyAlignment="1">
      <alignment horizontal="left"/>
    </xf>
    <xf numFmtId="15" fontId="0" fillId="0" borderId="0" xfId="0" applyNumberFormat="1"/>
    <xf numFmtId="0" fontId="0" fillId="0" borderId="60" xfId="0" applyBorder="1" applyAlignment="1">
      <alignment horizontal="center"/>
    </xf>
    <xf numFmtId="0" fontId="0" fillId="0" borderId="60" xfId="0" applyBorder="1"/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40" xfId="0" applyFont="1" applyBorder="1" applyAlignment="1"/>
    <xf numFmtId="0" fontId="1" fillId="0" borderId="42" xfId="0" applyFont="1" applyBorder="1" applyAlignment="1"/>
    <xf numFmtId="0" fontId="1" fillId="0" borderId="0" xfId="0" applyFont="1" applyBorder="1" applyAlignment="1"/>
    <xf numFmtId="0" fontId="1" fillId="0" borderId="4" xfId="0" applyFont="1" applyBorder="1" applyAlignment="1"/>
    <xf numFmtId="0" fontId="0" fillId="0" borderId="33" xfId="0" applyBorder="1"/>
    <xf numFmtId="0" fontId="0" fillId="0" borderId="32" xfId="0" applyBorder="1"/>
    <xf numFmtId="0" fontId="0" fillId="0" borderId="34" xfId="0" applyBorder="1"/>
    <xf numFmtId="0" fontId="0" fillId="0" borderId="6" xfId="0" applyBorder="1" applyAlignment="1"/>
    <xf numFmtId="0" fontId="0" fillId="0" borderId="31" xfId="0" applyBorder="1" applyAlignment="1"/>
    <xf numFmtId="0" fontId="0" fillId="0" borderId="7" xfId="0" applyBorder="1" applyAlignment="1"/>
    <xf numFmtId="0" fontId="0" fillId="0" borderId="2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5" xfId="0" applyBorder="1" applyAlignment="1">
      <alignment horizontal="center" vertical="center"/>
    </xf>
    <xf numFmtId="0" fontId="6" fillId="0" borderId="63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6" fillId="0" borderId="65" xfId="0" applyFont="1" applyBorder="1" applyAlignment="1">
      <alignment horizontal="center"/>
    </xf>
    <xf numFmtId="0" fontId="6" fillId="0" borderId="66" xfId="0" applyFont="1" applyBorder="1" applyAlignment="1">
      <alignment horizontal="center"/>
    </xf>
    <xf numFmtId="0" fontId="6" fillId="0" borderId="67" xfId="0" applyFont="1" applyBorder="1" applyAlignment="1">
      <alignment horizontal="center"/>
    </xf>
    <xf numFmtId="0" fontId="6" fillId="0" borderId="68" xfId="0" applyFont="1" applyBorder="1" applyAlignment="1">
      <alignment horizontal="center"/>
    </xf>
    <xf numFmtId="0" fontId="6" fillId="0" borderId="69" xfId="0" applyFont="1" applyBorder="1" applyAlignment="1">
      <alignment horizontal="center"/>
    </xf>
    <xf numFmtId="0" fontId="6" fillId="0" borderId="70" xfId="0" applyFont="1" applyBorder="1" applyAlignment="1">
      <alignment horizontal="center"/>
    </xf>
    <xf numFmtId="0" fontId="6" fillId="0" borderId="71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73" xfId="0" applyBorder="1" applyAlignment="1">
      <alignment horizontal="center"/>
    </xf>
    <xf numFmtId="0" fontId="0" fillId="0" borderId="13" xfId="0" applyBorder="1" applyAlignment="1">
      <alignment horizontal="left"/>
    </xf>
    <xf numFmtId="0" fontId="12" fillId="0" borderId="0" xfId="0" applyFont="1"/>
    <xf numFmtId="0" fontId="8" fillId="4" borderId="11" xfId="0" applyFont="1" applyFill="1" applyBorder="1" applyAlignment="1">
      <alignment horizontal="center"/>
    </xf>
    <xf numFmtId="0" fontId="8" fillId="4" borderId="0" xfId="0" applyFont="1" applyFill="1" applyBorder="1" applyAlignment="1">
      <alignment horizontal="center"/>
    </xf>
    <xf numFmtId="0" fontId="8" fillId="4" borderId="70" xfId="0" applyFont="1" applyFill="1" applyBorder="1" applyAlignment="1">
      <alignment horizontal="center"/>
    </xf>
    <xf numFmtId="0" fontId="8" fillId="4" borderId="68" xfId="0" applyFont="1" applyFill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0" fontId="6" fillId="4" borderId="0" xfId="0" applyFont="1" applyFill="1" applyBorder="1" applyAlignment="1">
      <alignment horizontal="left"/>
    </xf>
    <xf numFmtId="0" fontId="8" fillId="0" borderId="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74" xfId="0" applyFont="1" applyBorder="1" applyAlignment="1">
      <alignment horizontal="center"/>
    </xf>
    <xf numFmtId="0" fontId="0" fillId="0" borderId="75" xfId="0" applyBorder="1"/>
    <xf numFmtId="0" fontId="0" fillId="5" borderId="0" xfId="0" applyFill="1" applyBorder="1" applyAlignment="1">
      <alignment horizontal="center"/>
    </xf>
    <xf numFmtId="0" fontId="0" fillId="0" borderId="76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75" xfId="0" applyBorder="1" applyAlignment="1">
      <alignment horizontal="center"/>
    </xf>
    <xf numFmtId="0" fontId="0" fillId="0" borderId="25" xfId="0" applyBorder="1"/>
    <xf numFmtId="0" fontId="1" fillId="0" borderId="60" xfId="0" applyFont="1" applyBorder="1"/>
    <xf numFmtId="0" fontId="0" fillId="0" borderId="72" xfId="0" applyBorder="1"/>
    <xf numFmtId="0" fontId="0" fillId="0" borderId="73" xfId="0" applyBorder="1"/>
    <xf numFmtId="0" fontId="0" fillId="0" borderId="21" xfId="0" applyBorder="1"/>
    <xf numFmtId="0" fontId="0" fillId="0" borderId="14" xfId="0" applyBorder="1" applyAlignment="1">
      <alignment horizontal="center"/>
    </xf>
    <xf numFmtId="0" fontId="0" fillId="0" borderId="77" xfId="0" applyBorder="1" applyAlignment="1">
      <alignment horizontal="center"/>
    </xf>
    <xf numFmtId="164" fontId="0" fillId="0" borderId="0" xfId="0" applyNumberFormat="1"/>
    <xf numFmtId="0" fontId="15" fillId="0" borderId="0" xfId="1" applyFont="1" applyAlignment="1">
      <alignment vertical="center"/>
    </xf>
    <xf numFmtId="0" fontId="15" fillId="0" borderId="78" xfId="1" applyFont="1" applyBorder="1" applyAlignment="1">
      <alignment horizontal="left" vertical="center" wrapText="1"/>
    </xf>
    <xf numFmtId="0" fontId="15" fillId="0" borderId="0" xfId="1" applyFont="1" applyAlignment="1">
      <alignment vertical="center" wrapText="1"/>
    </xf>
    <xf numFmtId="0" fontId="15" fillId="0" borderId="0" xfId="1" applyFont="1" applyAlignment="1">
      <alignment horizontal="center" vertical="center" wrapText="1"/>
    </xf>
    <xf numFmtId="0" fontId="15" fillId="0" borderId="0" xfId="1" applyFont="1" applyAlignment="1">
      <alignment horizontal="left" vertical="center" wrapText="1"/>
    </xf>
    <xf numFmtId="0" fontId="15" fillId="0" borderId="0" xfId="1" applyFont="1" applyBorder="1" applyAlignment="1">
      <alignment horizontal="center" vertical="center" wrapText="1"/>
    </xf>
    <xf numFmtId="0" fontId="15" fillId="0" borderId="0" xfId="1" applyFont="1" applyBorder="1" applyAlignment="1">
      <alignment horizontal="left" vertical="center" wrapText="1"/>
    </xf>
    <xf numFmtId="0" fontId="15" fillId="0" borderId="79" xfId="1" applyFont="1" applyBorder="1" applyAlignment="1">
      <alignment vertical="center" wrapText="1"/>
    </xf>
    <xf numFmtId="0" fontId="15" fillId="0" borderId="79" xfId="1" applyFont="1" applyBorder="1" applyAlignment="1">
      <alignment horizontal="center" vertical="center" wrapText="1"/>
    </xf>
    <xf numFmtId="0" fontId="15" fillId="0" borderId="79" xfId="1" applyFont="1" applyBorder="1" applyAlignment="1">
      <alignment horizontal="left" vertical="center" wrapText="1"/>
    </xf>
    <xf numFmtId="0" fontId="15" fillId="0" borderId="0" xfId="1" applyFont="1" applyAlignment="1">
      <alignment horizontal="center" vertical="center"/>
    </xf>
    <xf numFmtId="0" fontId="15" fillId="0" borderId="0" xfId="1" applyFont="1" applyAlignment="1">
      <alignment horizontal="left" vertical="center"/>
    </xf>
    <xf numFmtId="0" fontId="15" fillId="0" borderId="78" xfId="1" applyFont="1" applyBorder="1" applyAlignment="1">
      <alignment horizontal="left" vertical="center"/>
    </xf>
    <xf numFmtId="0" fontId="16" fillId="0" borderId="79" xfId="1" applyFont="1" applyBorder="1" applyAlignment="1">
      <alignment horizontal="left" vertical="center" wrapText="1"/>
    </xf>
    <xf numFmtId="0" fontId="16" fillId="0" borderId="79" xfId="1" applyFont="1" applyBorder="1" applyAlignment="1">
      <alignment horizontal="center" vertical="center" wrapText="1"/>
    </xf>
    <xf numFmtId="0" fontId="15" fillId="0" borderId="0" xfId="1" applyFont="1" applyAlignment="1">
      <alignment horizontal="center" vertical="center" textRotation="90"/>
    </xf>
    <xf numFmtId="0" fontId="15" fillId="6" borderId="0" xfId="1" applyFont="1" applyFill="1" applyAlignment="1">
      <alignment vertical="center" wrapText="1"/>
    </xf>
    <xf numFmtId="0" fontId="18" fillId="6" borderId="0" xfId="1" applyFont="1" applyFill="1" applyAlignment="1">
      <alignment vertical="center" wrapText="1"/>
    </xf>
    <xf numFmtId="0" fontId="18" fillId="6" borderId="0" xfId="1" applyFont="1" applyFill="1" applyBorder="1" applyAlignment="1">
      <alignment horizontal="left" vertical="center" wrapText="1"/>
    </xf>
    <xf numFmtId="0" fontId="18" fillId="6" borderId="0" xfId="1" applyFont="1" applyFill="1" applyAlignment="1">
      <alignment vertical="center"/>
    </xf>
    <xf numFmtId="0" fontId="15" fillId="6" borderId="0" xfId="1" applyFont="1" applyFill="1" applyAlignment="1">
      <alignment vertical="center"/>
    </xf>
    <xf numFmtId="0" fontId="18" fillId="6" borderId="0" xfId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8" fillId="6" borderId="0" xfId="1" applyFont="1" applyFill="1" applyAlignment="1">
      <alignment horizontal="center" vertical="center" wrapText="1"/>
    </xf>
    <xf numFmtId="0" fontId="15" fillId="6" borderId="0" xfId="1" applyFont="1" applyFill="1" applyAlignment="1">
      <alignment horizontal="center" vertical="center" wrapText="1"/>
    </xf>
    <xf numFmtId="0" fontId="18" fillId="6" borderId="0" xfId="1" applyFont="1" applyFill="1" applyBorder="1" applyAlignment="1">
      <alignment horizontal="left" vertical="center"/>
    </xf>
    <xf numFmtId="0" fontId="15" fillId="0" borderId="0" xfId="1" applyFont="1" applyBorder="1" applyAlignment="1">
      <alignment vertical="center" wrapText="1"/>
    </xf>
    <xf numFmtId="0" fontId="15" fillId="0" borderId="0" xfId="1" applyFont="1" applyBorder="1" applyAlignment="1">
      <alignment horizontal="center" vertical="center" textRotation="90" wrapText="1"/>
    </xf>
    <xf numFmtId="0" fontId="15" fillId="6" borderId="0" xfId="1" applyFont="1" applyFill="1" applyBorder="1" applyAlignment="1">
      <alignment horizontal="left" vertical="center"/>
    </xf>
    <xf numFmtId="0" fontId="15" fillId="6" borderId="0" xfId="1" applyFont="1" applyFill="1" applyBorder="1" applyAlignment="1">
      <alignment vertical="center"/>
    </xf>
    <xf numFmtId="0" fontId="15" fillId="6" borderId="0" xfId="1" applyFont="1" applyFill="1" applyBorder="1" applyAlignment="1">
      <alignment vertical="center" wrapText="1"/>
    </xf>
    <xf numFmtId="0" fontId="15" fillId="6" borderId="0" xfId="1" applyFont="1" applyFill="1" applyBorder="1" applyAlignment="1">
      <alignment horizontal="center" vertical="center" wrapText="1"/>
    </xf>
    <xf numFmtId="0" fontId="15" fillId="0" borderId="0" xfId="1" applyFont="1" applyBorder="1" applyAlignment="1">
      <alignment horizontal="center" vertical="center"/>
    </xf>
    <xf numFmtId="0" fontId="15" fillId="0" borderId="0" xfId="1" applyFont="1" applyBorder="1" applyAlignment="1">
      <alignment vertical="center"/>
    </xf>
    <xf numFmtId="0" fontId="16" fillId="0" borderId="79" xfId="1" applyFont="1" applyBorder="1" applyAlignment="1">
      <alignment horizontal="left" vertical="center"/>
    </xf>
    <xf numFmtId="0" fontId="16" fillId="0" borderId="80" xfId="1" applyFont="1" applyBorder="1" applyAlignment="1">
      <alignment vertical="center" wrapText="1"/>
    </xf>
    <xf numFmtId="0" fontId="16" fillId="0" borderId="80" xfId="1" applyFont="1" applyBorder="1" applyAlignment="1">
      <alignment horizontal="center" vertical="center" wrapText="1"/>
    </xf>
    <xf numFmtId="0" fontId="16" fillId="0" borderId="80" xfId="1" applyFont="1" applyBorder="1" applyAlignment="1">
      <alignment horizontal="left" vertical="center" wrapText="1"/>
    </xf>
    <xf numFmtId="0" fontId="16" fillId="0" borderId="80" xfId="1" applyFont="1" applyBorder="1" applyAlignment="1">
      <alignment horizontal="center" vertical="center" textRotation="90" wrapText="1"/>
    </xf>
    <xf numFmtId="0" fontId="16" fillId="0" borderId="80" xfId="1" applyFont="1" applyBorder="1" applyAlignment="1">
      <alignment horizontal="center" vertical="center" textRotation="90"/>
    </xf>
    <xf numFmtId="0" fontId="16" fillId="0" borderId="0" xfId="1" applyFont="1" applyAlignment="1">
      <alignment vertical="center"/>
    </xf>
    <xf numFmtId="0" fontId="18" fillId="0" borderId="0" xfId="1" applyFont="1" applyAlignment="1">
      <alignment horizontal="center" vertical="center" wrapText="1"/>
    </xf>
    <xf numFmtId="0" fontId="18" fillId="0" borderId="0" xfId="1" applyFont="1" applyBorder="1" applyAlignment="1">
      <alignment horizontal="center" vertical="center" wrapText="1"/>
    </xf>
    <xf numFmtId="0" fontId="18" fillId="0" borderId="79" xfId="1" applyFont="1" applyBorder="1" applyAlignment="1">
      <alignment horizontal="center" vertical="center" wrapText="1"/>
    </xf>
    <xf numFmtId="0" fontId="15" fillId="0" borderId="78" xfId="1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75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61" xfId="0" applyBorder="1" applyAlignment="1">
      <alignment horizontal="center" wrapText="1"/>
    </xf>
    <xf numFmtId="0" fontId="0" fillId="0" borderId="62" xfId="0" applyBorder="1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35"/>
  <sheetViews>
    <sheetView tabSelected="1" zoomScale="85" zoomScaleNormal="85" workbookViewId="0">
      <selection activeCell="Q17" sqref="Q17"/>
    </sheetView>
  </sheetViews>
  <sheetFormatPr baseColWidth="10" defaultColWidth="11.42578125" defaultRowHeight="12.75" outlineLevelCol="1"/>
  <cols>
    <col min="1" max="1" width="8.140625" style="191" customWidth="1"/>
    <col min="2" max="2" width="9.140625" style="201" customWidth="1"/>
    <col min="3" max="3" width="11.42578125" style="201" customWidth="1"/>
    <col min="4" max="4" width="36" style="202" customWidth="1" outlineLevel="1"/>
    <col min="5" max="5" width="31.28515625" style="191" customWidth="1" outlineLevel="1"/>
    <col min="6" max="11" width="6.140625" style="201" customWidth="1" outlineLevel="1"/>
    <col min="12" max="12" width="7.28515625" style="201" bestFit="1" customWidth="1"/>
    <col min="13" max="13" width="17.5703125" style="201" customWidth="1"/>
    <col min="14" max="14" width="17" style="201" bestFit="1" customWidth="1"/>
    <col min="15" max="16384" width="11.42578125" style="191"/>
  </cols>
  <sheetData>
    <row r="1" spans="1:14">
      <c r="A1" s="191" t="s">
        <v>426</v>
      </c>
    </row>
    <row r="2" spans="1:14">
      <c r="A2" s="191">
        <v>170908</v>
      </c>
    </row>
    <row r="4" spans="1:14" ht="13.5" thickBot="1">
      <c r="A4" s="225" t="s">
        <v>826</v>
      </c>
      <c r="B4" s="205"/>
      <c r="C4" s="204"/>
      <c r="D4" s="204"/>
      <c r="E4" s="204"/>
      <c r="F4" s="204"/>
      <c r="G4" s="204"/>
      <c r="H4" s="204"/>
      <c r="I4" s="204"/>
      <c r="J4" s="204"/>
      <c r="K4" s="204"/>
      <c r="L4" s="205"/>
      <c r="M4" s="205"/>
      <c r="N4" s="205"/>
    </row>
    <row r="5" spans="1:14" s="231" customFormat="1" ht="54.4" customHeight="1" thickTop="1" thickBot="1">
      <c r="A5" s="226" t="s">
        <v>827</v>
      </c>
      <c r="B5" s="227" t="s">
        <v>828</v>
      </c>
      <c r="C5" s="227" t="s">
        <v>121</v>
      </c>
      <c r="D5" s="228" t="s">
        <v>830</v>
      </c>
      <c r="E5" s="226" t="s">
        <v>829</v>
      </c>
      <c r="F5" s="229" t="s">
        <v>969</v>
      </c>
      <c r="G5" s="229" t="s">
        <v>970</v>
      </c>
      <c r="H5" s="229" t="s">
        <v>971</v>
      </c>
      <c r="I5" s="229" t="s">
        <v>1014</v>
      </c>
      <c r="J5" s="229" t="s">
        <v>972</v>
      </c>
      <c r="K5" s="229" t="s">
        <v>973</v>
      </c>
      <c r="L5" s="230" t="s">
        <v>947</v>
      </c>
      <c r="M5" s="227" t="s">
        <v>974</v>
      </c>
      <c r="N5" s="227" t="s">
        <v>975</v>
      </c>
    </row>
    <row r="6" spans="1:14" ht="13.5" thickTop="1">
      <c r="A6" s="219" t="s">
        <v>968</v>
      </c>
      <c r="B6" s="212"/>
      <c r="C6" s="209"/>
      <c r="D6" s="209"/>
      <c r="E6" s="209"/>
      <c r="F6" s="209"/>
      <c r="G6" s="209"/>
      <c r="H6" s="209"/>
      <c r="I6" s="209"/>
      <c r="J6" s="209"/>
      <c r="K6" s="209"/>
      <c r="L6" s="212"/>
      <c r="M6" s="212"/>
      <c r="N6" s="212"/>
    </row>
    <row r="7" spans="1:14" ht="25.5">
      <c r="A7" s="193"/>
      <c r="B7" s="194" t="s">
        <v>491</v>
      </c>
      <c r="C7" s="194" t="s">
        <v>938</v>
      </c>
      <c r="D7" s="195" t="s">
        <v>976</v>
      </c>
      <c r="E7" s="193" t="s">
        <v>979</v>
      </c>
      <c r="F7" s="194"/>
      <c r="G7" s="194"/>
      <c r="H7" s="194"/>
      <c r="I7" s="194"/>
      <c r="J7" s="194"/>
      <c r="K7" s="194"/>
      <c r="L7" s="201" t="s">
        <v>491</v>
      </c>
      <c r="M7" s="232" t="s">
        <v>1011</v>
      </c>
      <c r="N7" s="201" t="s">
        <v>967</v>
      </c>
    </row>
    <row r="8" spans="1:14" ht="25.5">
      <c r="A8" s="193"/>
      <c r="B8" s="194" t="s">
        <v>955</v>
      </c>
      <c r="C8" s="194" t="s">
        <v>938</v>
      </c>
      <c r="D8" s="195" t="s">
        <v>978</v>
      </c>
      <c r="E8" s="193" t="s">
        <v>980</v>
      </c>
      <c r="F8" s="194"/>
      <c r="G8" s="194"/>
      <c r="H8" s="194"/>
      <c r="I8" s="194"/>
      <c r="J8" s="194"/>
      <c r="K8" s="194"/>
      <c r="L8" s="201" t="s">
        <v>995</v>
      </c>
      <c r="M8" s="232" t="s">
        <v>1012</v>
      </c>
    </row>
    <row r="9" spans="1:14" ht="14.25">
      <c r="A9" s="217"/>
      <c r="B9" s="194" t="s">
        <v>96</v>
      </c>
      <c r="C9" s="194" t="s">
        <v>300</v>
      </c>
      <c r="D9" s="197" t="s">
        <v>977</v>
      </c>
      <c r="E9" s="217" t="s">
        <v>303</v>
      </c>
      <c r="F9" s="218"/>
      <c r="G9" s="218"/>
      <c r="H9" s="218"/>
      <c r="I9" s="218"/>
      <c r="J9" s="218"/>
      <c r="K9" s="218"/>
      <c r="L9" s="201" t="s">
        <v>96</v>
      </c>
      <c r="M9" s="232" t="s">
        <v>966</v>
      </c>
      <c r="N9" s="201" t="s">
        <v>134</v>
      </c>
    </row>
    <row r="10" spans="1:14" ht="25.5">
      <c r="A10" s="217"/>
      <c r="B10" s="194" t="s">
        <v>1009</v>
      </c>
      <c r="C10" s="194" t="s">
        <v>300</v>
      </c>
      <c r="D10" s="197" t="s">
        <v>997</v>
      </c>
      <c r="E10" s="217" t="s">
        <v>998</v>
      </c>
      <c r="F10" s="218"/>
      <c r="G10" s="218"/>
      <c r="H10" s="218"/>
      <c r="I10" s="218"/>
      <c r="J10" s="218"/>
      <c r="K10" s="218"/>
      <c r="L10" s="201" t="s">
        <v>227</v>
      </c>
      <c r="M10" s="232" t="s">
        <v>996</v>
      </c>
      <c r="N10" s="201" t="s">
        <v>558</v>
      </c>
    </row>
    <row r="11" spans="1:14" ht="25.5">
      <c r="A11" s="217"/>
      <c r="B11" s="194" t="s">
        <v>1010</v>
      </c>
      <c r="C11" s="194" t="s">
        <v>300</v>
      </c>
      <c r="D11" s="197" t="s">
        <v>999</v>
      </c>
      <c r="E11" s="217" t="s">
        <v>1000</v>
      </c>
      <c r="F11" s="218"/>
      <c r="G11" s="218"/>
      <c r="H11" s="218"/>
      <c r="I11" s="218"/>
      <c r="J11" s="218"/>
      <c r="K11" s="218"/>
      <c r="L11" s="201" t="s">
        <v>238</v>
      </c>
      <c r="M11" s="232" t="s">
        <v>1013</v>
      </c>
    </row>
    <row r="12" spans="1:14">
      <c r="A12" s="217"/>
      <c r="B12" s="232"/>
      <c r="C12" s="196"/>
      <c r="D12" s="197"/>
      <c r="E12" s="217"/>
      <c r="F12" s="218"/>
      <c r="G12" s="218"/>
      <c r="H12" s="218"/>
      <c r="I12" s="218"/>
      <c r="J12" s="218"/>
      <c r="K12" s="218"/>
    </row>
    <row r="13" spans="1:14">
      <c r="A13" s="217"/>
      <c r="B13" s="196"/>
      <c r="C13" s="196"/>
      <c r="D13" s="197"/>
      <c r="E13" s="217"/>
      <c r="F13" s="218"/>
      <c r="G13" s="218"/>
      <c r="H13" s="218"/>
      <c r="I13" s="218"/>
      <c r="J13" s="218"/>
      <c r="K13" s="218"/>
      <c r="L13" s="206"/>
    </row>
    <row r="14" spans="1:14" ht="14.25">
      <c r="A14" s="216" t="s">
        <v>964</v>
      </c>
      <c r="B14" s="212"/>
      <c r="C14" s="209"/>
      <c r="D14" s="209"/>
      <c r="E14" s="209"/>
      <c r="F14" s="209"/>
      <c r="G14" s="209"/>
      <c r="H14" s="209"/>
      <c r="I14" s="209"/>
      <c r="J14" s="209"/>
      <c r="K14" s="209"/>
      <c r="L14" s="212"/>
      <c r="M14" s="212"/>
      <c r="N14" s="212"/>
    </row>
    <row r="15" spans="1:14" ht="14.25">
      <c r="A15" s="193"/>
      <c r="B15" s="232" t="s">
        <v>651</v>
      </c>
      <c r="C15" s="194" t="s">
        <v>300</v>
      </c>
      <c r="D15" s="195" t="s">
        <v>833</v>
      </c>
      <c r="E15" s="193" t="s">
        <v>643</v>
      </c>
      <c r="F15" s="194"/>
      <c r="G15" s="194"/>
      <c r="H15" s="194"/>
      <c r="I15" s="194" t="s">
        <v>652</v>
      </c>
      <c r="J15" s="194"/>
      <c r="K15" s="194"/>
    </row>
    <row r="16" spans="1:14" ht="14.25">
      <c r="A16" s="193"/>
      <c r="B16" s="232" t="s">
        <v>662</v>
      </c>
      <c r="C16" s="194" t="s">
        <v>300</v>
      </c>
      <c r="D16" s="195" t="s">
        <v>1004</v>
      </c>
      <c r="E16" s="193" t="s">
        <v>1005</v>
      </c>
      <c r="F16" s="194" t="s">
        <v>663</v>
      </c>
      <c r="G16" s="194"/>
      <c r="H16" s="194" t="s">
        <v>663</v>
      </c>
      <c r="I16" s="194"/>
      <c r="J16" s="194"/>
      <c r="K16" s="194"/>
      <c r="L16" s="201" t="s">
        <v>228</v>
      </c>
    </row>
    <row r="17" spans="1:14" ht="25.5">
      <c r="A17" s="193"/>
      <c r="B17" s="232" t="s">
        <v>937</v>
      </c>
      <c r="C17" s="194" t="s">
        <v>938</v>
      </c>
      <c r="D17" s="195" t="s">
        <v>960</v>
      </c>
      <c r="E17" s="193" t="s">
        <v>961</v>
      </c>
      <c r="F17" s="194"/>
      <c r="G17" s="194"/>
      <c r="H17" s="194"/>
      <c r="I17" s="194"/>
      <c r="J17" s="194"/>
      <c r="K17" s="194"/>
      <c r="L17" s="213" t="s">
        <v>223</v>
      </c>
      <c r="N17" s="213"/>
    </row>
    <row r="18" spans="1:14" ht="25.5">
      <c r="A18" s="193"/>
      <c r="B18" s="232" t="s">
        <v>939</v>
      </c>
      <c r="C18" s="194" t="s">
        <v>938</v>
      </c>
      <c r="D18" s="195" t="s">
        <v>940</v>
      </c>
      <c r="E18" s="193" t="s">
        <v>941</v>
      </c>
      <c r="F18" s="194"/>
      <c r="G18" s="194"/>
      <c r="H18" s="194"/>
      <c r="I18" s="194"/>
      <c r="J18" s="194"/>
      <c r="K18" s="194"/>
      <c r="L18" s="213"/>
      <c r="N18" s="213"/>
    </row>
    <row r="19" spans="1:14" ht="14.25">
      <c r="A19" s="193"/>
      <c r="B19" s="232" t="s">
        <v>647</v>
      </c>
      <c r="C19" s="194" t="s">
        <v>300</v>
      </c>
      <c r="D19" s="195" t="s">
        <v>831</v>
      </c>
      <c r="E19" s="193" t="s">
        <v>645</v>
      </c>
      <c r="F19" s="194"/>
      <c r="G19" s="194"/>
      <c r="H19" s="194"/>
      <c r="I19" s="194" t="s">
        <v>648</v>
      </c>
      <c r="J19" s="194"/>
      <c r="K19" s="194"/>
    </row>
    <row r="20" spans="1:14" ht="14.25">
      <c r="A20" s="193"/>
      <c r="B20" s="232" t="s">
        <v>646</v>
      </c>
      <c r="C20" s="194" t="s">
        <v>300</v>
      </c>
      <c r="D20" s="195" t="s">
        <v>942</v>
      </c>
      <c r="E20" s="193" t="s">
        <v>943</v>
      </c>
      <c r="F20" s="194"/>
      <c r="G20" s="194"/>
      <c r="H20" s="194"/>
      <c r="I20" s="194"/>
      <c r="J20" s="194"/>
      <c r="K20" s="194"/>
      <c r="L20" s="201" t="s">
        <v>225</v>
      </c>
      <c r="N20" s="213"/>
    </row>
    <row r="21" spans="1:14" ht="25.5">
      <c r="A21" s="193"/>
      <c r="B21" s="232" t="s">
        <v>667</v>
      </c>
      <c r="C21" s="194" t="s">
        <v>300</v>
      </c>
      <c r="D21" s="195" t="s">
        <v>837</v>
      </c>
      <c r="E21" s="193" t="s">
        <v>639</v>
      </c>
      <c r="F21" s="194"/>
      <c r="G21" s="194"/>
      <c r="H21" s="194"/>
      <c r="I21" s="194"/>
      <c r="J21" s="194"/>
      <c r="K21" s="194"/>
    </row>
    <row r="22" spans="1:14" ht="14.25">
      <c r="A22" s="193"/>
      <c r="B22" s="232" t="s">
        <v>659</v>
      </c>
      <c r="C22" s="194" t="s">
        <v>300</v>
      </c>
      <c r="D22" s="195" t="s">
        <v>835</v>
      </c>
      <c r="E22" s="193" t="s">
        <v>641</v>
      </c>
      <c r="F22" s="194"/>
      <c r="G22" s="194" t="s">
        <v>660</v>
      </c>
      <c r="H22" s="194"/>
      <c r="I22" s="194" t="s">
        <v>661</v>
      </c>
      <c r="J22" s="194" t="s">
        <v>660</v>
      </c>
      <c r="K22" s="194"/>
    </row>
    <row r="23" spans="1:14" ht="14.25">
      <c r="A23" s="193"/>
      <c r="B23" s="232" t="s">
        <v>670</v>
      </c>
      <c r="C23" s="194" t="s">
        <v>300</v>
      </c>
      <c r="D23" s="195" t="s">
        <v>840</v>
      </c>
      <c r="E23" s="193" t="s">
        <v>636</v>
      </c>
      <c r="F23" s="194"/>
      <c r="G23" s="194"/>
      <c r="H23" s="194"/>
      <c r="I23" s="194" t="s">
        <v>671</v>
      </c>
      <c r="J23" s="194"/>
      <c r="K23" s="194"/>
      <c r="N23" s="213"/>
    </row>
    <row r="24" spans="1:14" ht="14.25">
      <c r="A24" s="193"/>
      <c r="B24" s="232" t="s">
        <v>672</v>
      </c>
      <c r="C24" s="194" t="s">
        <v>300</v>
      </c>
      <c r="D24" s="195" t="s">
        <v>841</v>
      </c>
      <c r="E24" s="193" t="s">
        <v>635</v>
      </c>
      <c r="F24" s="194"/>
      <c r="G24" s="194"/>
      <c r="H24" s="194"/>
      <c r="I24" s="194"/>
      <c r="J24" s="194"/>
      <c r="K24" s="194"/>
    </row>
    <row r="25" spans="1:14" ht="25.5">
      <c r="A25" s="193"/>
      <c r="B25" s="232" t="s">
        <v>664</v>
      </c>
      <c r="C25" s="194" t="s">
        <v>300</v>
      </c>
      <c r="D25" s="195" t="s">
        <v>836</v>
      </c>
      <c r="E25" s="193" t="s">
        <v>640</v>
      </c>
      <c r="F25" s="194" t="s">
        <v>665</v>
      </c>
      <c r="G25" s="194" t="s">
        <v>665</v>
      </c>
      <c r="H25" s="194" t="s">
        <v>665</v>
      </c>
      <c r="I25" s="194" t="s">
        <v>666</v>
      </c>
      <c r="J25" s="194" t="s">
        <v>665</v>
      </c>
      <c r="K25" s="194"/>
      <c r="N25" s="213"/>
    </row>
    <row r="26" spans="1:14" ht="41.25">
      <c r="A26" s="193"/>
      <c r="B26" s="232" t="s">
        <v>649</v>
      </c>
      <c r="C26" s="194" t="s">
        <v>300</v>
      </c>
      <c r="D26" s="195" t="s">
        <v>832</v>
      </c>
      <c r="E26" s="193" t="s">
        <v>644</v>
      </c>
      <c r="F26" s="194"/>
      <c r="G26" s="194"/>
      <c r="H26" s="194"/>
      <c r="I26" s="194" t="s">
        <v>650</v>
      </c>
      <c r="J26" s="194"/>
      <c r="K26" s="194"/>
    </row>
    <row r="27" spans="1:14" ht="14.25">
      <c r="A27" s="193"/>
      <c r="B27" s="232" t="s">
        <v>669</v>
      </c>
      <c r="C27" s="194" t="s">
        <v>300</v>
      </c>
      <c r="D27" s="195" t="s">
        <v>839</v>
      </c>
      <c r="E27" s="193" t="s">
        <v>637</v>
      </c>
      <c r="F27" s="194"/>
      <c r="G27" s="194"/>
      <c r="H27" s="194"/>
      <c r="I27" s="194"/>
      <c r="J27" s="194"/>
      <c r="K27" s="194"/>
      <c r="N27" s="213"/>
    </row>
    <row r="28" spans="1:14" ht="14.25">
      <c r="A28" s="193"/>
      <c r="B28" s="232" t="s">
        <v>653</v>
      </c>
      <c r="C28" s="194" t="s">
        <v>300</v>
      </c>
      <c r="D28" s="195" t="s">
        <v>642</v>
      </c>
      <c r="E28" s="193" t="s">
        <v>642</v>
      </c>
      <c r="F28" s="194"/>
      <c r="G28" s="194"/>
      <c r="H28" s="194"/>
      <c r="I28" s="194" t="s">
        <v>654</v>
      </c>
      <c r="J28" s="194"/>
      <c r="K28" s="194"/>
    </row>
    <row r="29" spans="1:14" ht="25.5">
      <c r="A29" s="193"/>
      <c r="B29" s="232" t="s">
        <v>668</v>
      </c>
      <c r="C29" s="194" t="s">
        <v>300</v>
      </c>
      <c r="D29" s="195" t="s">
        <v>838</v>
      </c>
      <c r="E29" s="193" t="s">
        <v>638</v>
      </c>
      <c r="F29" s="194"/>
      <c r="G29" s="194"/>
      <c r="H29" s="194"/>
      <c r="I29" s="194"/>
      <c r="J29" s="194"/>
      <c r="K29" s="194"/>
      <c r="L29" s="201" t="s">
        <v>231</v>
      </c>
    </row>
    <row r="30" spans="1:14" ht="14.25">
      <c r="A30" s="193"/>
      <c r="B30" s="232" t="s">
        <v>655</v>
      </c>
      <c r="C30" s="194" t="s">
        <v>300</v>
      </c>
      <c r="D30" s="195" t="s">
        <v>834</v>
      </c>
      <c r="E30" s="193" t="s">
        <v>290</v>
      </c>
      <c r="F30" s="194"/>
      <c r="G30" s="194" t="s">
        <v>656</v>
      </c>
      <c r="H30" s="194"/>
      <c r="I30" s="194"/>
      <c r="J30" s="194" t="s">
        <v>657</v>
      </c>
      <c r="K30" s="194" t="s">
        <v>658</v>
      </c>
    </row>
    <row r="31" spans="1:14" ht="14.25">
      <c r="A31" s="210" t="s">
        <v>673</v>
      </c>
      <c r="B31" s="214"/>
      <c r="C31" s="208"/>
      <c r="D31" s="208"/>
      <c r="E31" s="208"/>
      <c r="F31" s="208"/>
      <c r="G31" s="208"/>
      <c r="H31" s="208"/>
      <c r="I31" s="208"/>
      <c r="J31" s="208"/>
      <c r="K31" s="208"/>
      <c r="L31" s="214"/>
      <c r="M31" s="214"/>
      <c r="N31" s="214"/>
    </row>
    <row r="32" spans="1:14" ht="14.25">
      <c r="A32" s="193"/>
      <c r="B32" s="232" t="s">
        <v>674</v>
      </c>
      <c r="C32" s="194" t="s">
        <v>128</v>
      </c>
      <c r="D32" s="195" t="s">
        <v>842</v>
      </c>
      <c r="E32" s="193" t="s">
        <v>284</v>
      </c>
      <c r="F32" s="194" t="s">
        <v>675</v>
      </c>
      <c r="G32" s="194" t="s">
        <v>675</v>
      </c>
      <c r="H32" s="194" t="s">
        <v>675</v>
      </c>
      <c r="I32" s="194" t="s">
        <v>634</v>
      </c>
      <c r="J32" s="194" t="s">
        <v>676</v>
      </c>
      <c r="K32" s="194" t="s">
        <v>674</v>
      </c>
      <c r="N32" s="213"/>
    </row>
    <row r="33" spans="1:14" ht="14.25">
      <c r="A33" s="210" t="s">
        <v>965</v>
      </c>
      <c r="B33" s="214"/>
      <c r="C33" s="208"/>
      <c r="D33" s="208"/>
      <c r="E33" s="208"/>
      <c r="F33" s="208"/>
      <c r="G33" s="208"/>
      <c r="H33" s="208"/>
      <c r="I33" s="208"/>
      <c r="J33" s="208"/>
      <c r="K33" s="208"/>
      <c r="L33" s="214"/>
      <c r="M33" s="214"/>
      <c r="N33" s="214"/>
    </row>
    <row r="34" spans="1:14" ht="14.25">
      <c r="A34" s="193"/>
      <c r="B34" s="232" t="s">
        <v>679</v>
      </c>
      <c r="C34" s="194" t="s">
        <v>300</v>
      </c>
      <c r="D34" s="195" t="s">
        <v>845</v>
      </c>
      <c r="E34" s="193" t="s">
        <v>632</v>
      </c>
      <c r="F34" s="194"/>
      <c r="G34" s="194"/>
      <c r="H34" s="194"/>
      <c r="I34" s="194"/>
      <c r="J34" s="194"/>
      <c r="K34" s="194"/>
      <c r="L34" s="201" t="s">
        <v>229</v>
      </c>
    </row>
    <row r="35" spans="1:14" ht="25.5">
      <c r="A35" s="193"/>
      <c r="B35" s="232" t="s">
        <v>681</v>
      </c>
      <c r="C35" s="194" t="s">
        <v>300</v>
      </c>
      <c r="D35" s="195" t="s">
        <v>847</v>
      </c>
      <c r="E35" s="193" t="s">
        <v>843</v>
      </c>
      <c r="F35" s="194"/>
      <c r="G35" s="194"/>
      <c r="H35" s="194"/>
      <c r="I35" s="194"/>
      <c r="J35" s="194"/>
      <c r="K35" s="194"/>
    </row>
    <row r="36" spans="1:14" ht="25.5">
      <c r="A36" s="193"/>
      <c r="B36" s="232" t="s">
        <v>677</v>
      </c>
      <c r="C36" s="194" t="s">
        <v>300</v>
      </c>
      <c r="D36" s="195" t="s">
        <v>956</v>
      </c>
      <c r="E36" s="193" t="s">
        <v>633</v>
      </c>
      <c r="F36" s="194"/>
      <c r="G36" s="194"/>
      <c r="H36" s="194"/>
      <c r="I36" s="194" t="s">
        <v>678</v>
      </c>
      <c r="J36" s="194"/>
      <c r="K36" s="194"/>
    </row>
    <row r="37" spans="1:14" ht="25.5">
      <c r="A37" s="193"/>
      <c r="B37" s="232" t="s">
        <v>680</v>
      </c>
      <c r="C37" s="194" t="s">
        <v>300</v>
      </c>
      <c r="D37" s="195" t="s">
        <v>846</v>
      </c>
      <c r="E37" s="193" t="s">
        <v>631</v>
      </c>
      <c r="F37" s="194"/>
      <c r="G37" s="194"/>
      <c r="H37" s="194"/>
      <c r="I37" s="194"/>
      <c r="J37" s="194"/>
      <c r="K37" s="194"/>
    </row>
    <row r="38" spans="1:14" ht="14.25">
      <c r="A38" s="193"/>
      <c r="B38" s="232" t="s">
        <v>683</v>
      </c>
      <c r="C38" s="194" t="s">
        <v>300</v>
      </c>
      <c r="D38" s="195" t="s">
        <v>849</v>
      </c>
      <c r="E38" s="193" t="s">
        <v>629</v>
      </c>
      <c r="F38" s="194"/>
      <c r="G38" s="194"/>
      <c r="H38" s="194"/>
      <c r="I38" s="194"/>
      <c r="J38" s="194"/>
      <c r="K38" s="194"/>
    </row>
    <row r="39" spans="1:14" ht="14.25">
      <c r="A39" s="193"/>
      <c r="B39" s="232" t="s">
        <v>1001</v>
      </c>
      <c r="C39" s="194" t="s">
        <v>300</v>
      </c>
      <c r="D39" s="195" t="s">
        <v>1003</v>
      </c>
      <c r="E39" s="193" t="s">
        <v>1002</v>
      </c>
      <c r="F39" s="194"/>
      <c r="G39" s="194"/>
      <c r="H39" s="194"/>
      <c r="I39" s="194"/>
      <c r="J39" s="194"/>
      <c r="K39" s="194"/>
      <c r="L39" s="201" t="s">
        <v>228</v>
      </c>
    </row>
    <row r="40" spans="1:14" ht="14.25">
      <c r="A40" s="193"/>
      <c r="B40" s="232" t="s">
        <v>682</v>
      </c>
      <c r="C40" s="194" t="s">
        <v>300</v>
      </c>
      <c r="D40" s="195" t="s">
        <v>848</v>
      </c>
      <c r="E40" s="193" t="s">
        <v>630</v>
      </c>
      <c r="F40" s="194"/>
      <c r="G40" s="194"/>
      <c r="H40" s="194"/>
      <c r="I40" s="194"/>
      <c r="J40" s="194"/>
      <c r="K40" s="194"/>
    </row>
    <row r="41" spans="1:14" ht="27">
      <c r="A41" s="193"/>
      <c r="B41" s="232" t="s">
        <v>689</v>
      </c>
      <c r="C41" s="194" t="s">
        <v>300</v>
      </c>
      <c r="D41" s="195" t="s">
        <v>855</v>
      </c>
      <c r="E41" s="193" t="s">
        <v>690</v>
      </c>
      <c r="F41" s="194"/>
      <c r="G41" s="194"/>
      <c r="H41" s="194"/>
      <c r="I41" s="194"/>
      <c r="J41" s="194" t="s">
        <v>691</v>
      </c>
      <c r="K41" s="194"/>
    </row>
    <row r="42" spans="1:14" ht="14.25">
      <c r="A42" s="193"/>
      <c r="B42" s="232" t="s">
        <v>704</v>
      </c>
      <c r="C42" s="194" t="s">
        <v>300</v>
      </c>
      <c r="D42" s="195" t="s">
        <v>862</v>
      </c>
      <c r="E42" s="193" t="s">
        <v>621</v>
      </c>
      <c r="F42" s="194"/>
      <c r="G42" s="194"/>
      <c r="H42" s="194"/>
      <c r="I42" s="194"/>
      <c r="J42" s="194"/>
      <c r="K42" s="194"/>
      <c r="L42" s="201" t="s">
        <v>222</v>
      </c>
      <c r="N42" s="213"/>
    </row>
    <row r="43" spans="1:14" ht="25.5">
      <c r="A43" s="193"/>
      <c r="B43" s="232" t="s">
        <v>959</v>
      </c>
      <c r="C43" s="194" t="s">
        <v>938</v>
      </c>
      <c r="D43" s="195" t="s">
        <v>962</v>
      </c>
      <c r="E43" s="193" t="s">
        <v>963</v>
      </c>
      <c r="F43" s="194"/>
      <c r="G43" s="194"/>
      <c r="H43" s="194"/>
      <c r="I43" s="194"/>
      <c r="J43" s="194"/>
      <c r="K43" s="194"/>
      <c r="N43" s="213"/>
    </row>
    <row r="44" spans="1:14" ht="25.5">
      <c r="A44" s="193"/>
      <c r="B44" s="232" t="s">
        <v>957</v>
      </c>
      <c r="C44" s="194" t="s">
        <v>938</v>
      </c>
      <c r="D44" s="195" t="s">
        <v>981</v>
      </c>
      <c r="E44" s="193" t="s">
        <v>982</v>
      </c>
      <c r="F44" s="194"/>
      <c r="G44" s="194"/>
      <c r="H44" s="194"/>
      <c r="I44" s="194"/>
      <c r="J44" s="194"/>
      <c r="K44" s="194"/>
      <c r="N44" s="213"/>
    </row>
    <row r="45" spans="1:14" ht="14.25">
      <c r="A45" s="193"/>
      <c r="B45" s="232" t="s">
        <v>958</v>
      </c>
      <c r="C45" s="194" t="s">
        <v>300</v>
      </c>
      <c r="D45" s="195" t="s">
        <v>983</v>
      </c>
      <c r="E45" s="193" t="s">
        <v>984</v>
      </c>
      <c r="F45" s="194"/>
      <c r="G45" s="194"/>
      <c r="H45" s="194"/>
      <c r="I45" s="194"/>
      <c r="J45" s="194"/>
      <c r="K45" s="194"/>
      <c r="L45" s="201" t="s">
        <v>226</v>
      </c>
      <c r="N45" s="213"/>
    </row>
    <row r="46" spans="1:14" ht="25.5">
      <c r="A46" s="193"/>
      <c r="B46" s="232" t="s">
        <v>852</v>
      </c>
      <c r="C46" s="194" t="s">
        <v>300</v>
      </c>
      <c r="D46" s="195" t="s">
        <v>850</v>
      </c>
      <c r="E46" s="193" t="s">
        <v>853</v>
      </c>
      <c r="F46" s="194" t="s">
        <v>686</v>
      </c>
      <c r="G46" s="194" t="s">
        <v>686</v>
      </c>
      <c r="H46" s="194" t="s">
        <v>686</v>
      </c>
      <c r="I46" s="194"/>
      <c r="J46" s="194"/>
      <c r="K46" s="194"/>
      <c r="N46" s="213"/>
    </row>
    <row r="47" spans="1:14" ht="25.5">
      <c r="A47" s="193"/>
      <c r="B47" s="232" t="s">
        <v>708</v>
      </c>
      <c r="C47" s="194" t="s">
        <v>300</v>
      </c>
      <c r="D47" s="195" t="s">
        <v>866</v>
      </c>
      <c r="E47" s="193" t="s">
        <v>617</v>
      </c>
      <c r="F47" s="194" t="s">
        <v>709</v>
      </c>
      <c r="G47" s="194"/>
      <c r="H47" s="194"/>
      <c r="I47" s="194" t="s">
        <v>710</v>
      </c>
      <c r="J47" s="194" t="s">
        <v>711</v>
      </c>
      <c r="K47" s="194"/>
      <c r="N47" s="213"/>
    </row>
    <row r="48" spans="1:14" ht="38.25">
      <c r="A48" s="193"/>
      <c r="B48" s="232" t="s">
        <v>706</v>
      </c>
      <c r="C48" s="194" t="s">
        <v>300</v>
      </c>
      <c r="D48" s="195" t="s">
        <v>864</v>
      </c>
      <c r="E48" s="193" t="s">
        <v>619</v>
      </c>
      <c r="F48" s="194"/>
      <c r="G48" s="194"/>
      <c r="H48" s="194"/>
      <c r="I48" s="194"/>
      <c r="J48" s="194"/>
      <c r="K48" s="194"/>
    </row>
    <row r="49" spans="1:14" ht="38.25">
      <c r="A49" s="193"/>
      <c r="B49" s="232" t="s">
        <v>707</v>
      </c>
      <c r="C49" s="194" t="s">
        <v>300</v>
      </c>
      <c r="D49" s="195" t="s">
        <v>865</v>
      </c>
      <c r="E49" s="193" t="s">
        <v>618</v>
      </c>
      <c r="F49" s="194"/>
      <c r="G49" s="194"/>
      <c r="H49" s="194"/>
      <c r="I49" s="194"/>
      <c r="J49" s="194"/>
      <c r="K49" s="194"/>
    </row>
    <row r="50" spans="1:14" ht="14.25">
      <c r="A50" s="193"/>
      <c r="B50" s="232" t="s">
        <v>700</v>
      </c>
      <c r="C50" s="194" t="s">
        <v>300</v>
      </c>
      <c r="D50" s="195" t="s">
        <v>858</v>
      </c>
      <c r="E50" s="193" t="s">
        <v>623</v>
      </c>
      <c r="F50" s="194"/>
      <c r="G50" s="194"/>
      <c r="H50" s="194"/>
      <c r="I50" s="194"/>
      <c r="J50" s="194"/>
      <c r="K50" s="194"/>
    </row>
    <row r="51" spans="1:14" ht="14.25">
      <c r="A51" s="193"/>
      <c r="B51" s="232" t="s">
        <v>699</v>
      </c>
      <c r="C51" s="194" t="s">
        <v>300</v>
      </c>
      <c r="D51" s="195" t="s">
        <v>860</v>
      </c>
      <c r="E51" s="193" t="s">
        <v>624</v>
      </c>
      <c r="F51" s="194"/>
      <c r="G51" s="194"/>
      <c r="H51" s="194"/>
      <c r="I51" s="194"/>
      <c r="J51" s="194"/>
      <c r="K51" s="194"/>
    </row>
    <row r="52" spans="1:14" ht="25.5">
      <c r="A52" s="193"/>
      <c r="B52" s="232" t="s">
        <v>684</v>
      </c>
      <c r="C52" s="194" t="s">
        <v>300</v>
      </c>
      <c r="D52" s="195" t="s">
        <v>844</v>
      </c>
      <c r="E52" s="193" t="s">
        <v>628</v>
      </c>
      <c r="F52" s="194"/>
      <c r="G52" s="194"/>
      <c r="H52" s="194"/>
      <c r="I52" s="194" t="s">
        <v>685</v>
      </c>
      <c r="J52" s="194"/>
      <c r="K52" s="194"/>
    </row>
    <row r="53" spans="1:14" ht="27">
      <c r="A53" s="193"/>
      <c r="B53" s="232" t="s">
        <v>687</v>
      </c>
      <c r="C53" s="194" t="s">
        <v>300</v>
      </c>
      <c r="D53" s="195" t="s">
        <v>854</v>
      </c>
      <c r="E53" s="193" t="s">
        <v>851</v>
      </c>
      <c r="F53" s="194"/>
      <c r="G53" s="194"/>
      <c r="H53" s="194"/>
      <c r="I53" s="194"/>
      <c r="J53" s="194" t="s">
        <v>688</v>
      </c>
      <c r="K53" s="194"/>
    </row>
    <row r="54" spans="1:14" ht="25.5">
      <c r="A54" s="193"/>
      <c r="B54" s="232" t="s">
        <v>705</v>
      </c>
      <c r="C54" s="194" t="s">
        <v>300</v>
      </c>
      <c r="D54" s="195" t="s">
        <v>863</v>
      </c>
      <c r="E54" s="193" t="s">
        <v>620</v>
      </c>
      <c r="F54" s="194"/>
      <c r="G54" s="194"/>
      <c r="H54" s="194"/>
      <c r="I54" s="194"/>
      <c r="J54" s="194"/>
      <c r="K54" s="194"/>
    </row>
    <row r="55" spans="1:14" ht="14.25">
      <c r="A55" s="193"/>
      <c r="B55" s="232" t="s">
        <v>698</v>
      </c>
      <c r="C55" s="194" t="s">
        <v>300</v>
      </c>
      <c r="D55" s="195" t="s">
        <v>859</v>
      </c>
      <c r="E55" s="193" t="s">
        <v>625</v>
      </c>
      <c r="F55" s="194"/>
      <c r="G55" s="194"/>
      <c r="H55" s="194"/>
      <c r="I55" s="194"/>
      <c r="J55" s="194"/>
      <c r="K55" s="194"/>
    </row>
    <row r="56" spans="1:14" ht="14.25">
      <c r="A56" s="193"/>
      <c r="B56" s="232" t="s">
        <v>714</v>
      </c>
      <c r="C56" s="194" t="s">
        <v>300</v>
      </c>
      <c r="D56" s="195" t="s">
        <v>868</v>
      </c>
      <c r="E56" s="193" t="s">
        <v>615</v>
      </c>
      <c r="F56" s="194"/>
      <c r="G56" s="194"/>
      <c r="H56" s="194"/>
      <c r="I56" s="194"/>
      <c r="J56" s="194"/>
      <c r="K56" s="194"/>
    </row>
    <row r="57" spans="1:14" ht="14.25">
      <c r="A57" s="193"/>
      <c r="B57" s="232" t="s">
        <v>696</v>
      </c>
      <c r="C57" s="194" t="s">
        <v>300</v>
      </c>
      <c r="D57" s="195" t="s">
        <v>857</v>
      </c>
      <c r="E57" s="193" t="s">
        <v>626</v>
      </c>
      <c r="F57" s="194"/>
      <c r="G57" s="194"/>
      <c r="H57" s="194"/>
      <c r="I57" s="194"/>
      <c r="J57" s="194"/>
      <c r="K57" s="194" t="s">
        <v>697</v>
      </c>
    </row>
    <row r="58" spans="1:14" ht="38.25">
      <c r="A58" s="193"/>
      <c r="B58" s="232" t="s">
        <v>692</v>
      </c>
      <c r="C58" s="194" t="s">
        <v>300</v>
      </c>
      <c r="D58" s="195" t="s">
        <v>856</v>
      </c>
      <c r="E58" s="193" t="s">
        <v>627</v>
      </c>
      <c r="F58" s="194"/>
      <c r="G58" s="194"/>
      <c r="H58" s="194" t="s">
        <v>693</v>
      </c>
      <c r="I58" s="194" t="s">
        <v>694</v>
      </c>
      <c r="J58" s="194" t="s">
        <v>693</v>
      </c>
      <c r="K58" s="194" t="s">
        <v>695</v>
      </c>
    </row>
    <row r="59" spans="1:14" ht="14.25">
      <c r="A59" s="193"/>
      <c r="B59" s="232" t="s">
        <v>701</v>
      </c>
      <c r="C59" s="194" t="s">
        <v>300</v>
      </c>
      <c r="D59" s="195" t="s">
        <v>861</v>
      </c>
      <c r="E59" s="193" t="s">
        <v>622</v>
      </c>
      <c r="F59" s="194"/>
      <c r="G59" s="194" t="s">
        <v>702</v>
      </c>
      <c r="H59" s="194" t="s">
        <v>703</v>
      </c>
      <c r="I59" s="194"/>
      <c r="J59" s="194"/>
      <c r="K59" s="194"/>
    </row>
    <row r="60" spans="1:14" s="224" customFormat="1" ht="14.25">
      <c r="A60" s="217"/>
      <c r="B60" s="233" t="s">
        <v>712</v>
      </c>
      <c r="C60" s="196" t="s">
        <v>300</v>
      </c>
      <c r="D60" s="197" t="s">
        <v>867</v>
      </c>
      <c r="E60" s="217" t="s">
        <v>616</v>
      </c>
      <c r="F60" s="196" t="s">
        <v>713</v>
      </c>
      <c r="G60" s="196" t="s">
        <v>713</v>
      </c>
      <c r="H60" s="196" t="s">
        <v>713</v>
      </c>
      <c r="I60" s="196" t="s">
        <v>713</v>
      </c>
      <c r="J60" s="196" t="s">
        <v>713</v>
      </c>
      <c r="K60" s="196" t="s">
        <v>713</v>
      </c>
      <c r="L60" s="223" t="s">
        <v>233</v>
      </c>
      <c r="M60" s="223"/>
      <c r="N60" s="223"/>
    </row>
    <row r="61" spans="1:14">
      <c r="A61" s="220" t="s">
        <v>934</v>
      </c>
      <c r="B61" s="222"/>
      <c r="C61" s="221"/>
      <c r="D61" s="221"/>
      <c r="E61" s="221"/>
      <c r="F61" s="221"/>
      <c r="G61" s="221"/>
      <c r="H61" s="221"/>
      <c r="I61" s="221"/>
      <c r="J61" s="221"/>
      <c r="K61" s="221"/>
      <c r="L61" s="222"/>
      <c r="M61" s="212"/>
      <c r="N61" s="212"/>
    </row>
    <row r="62" spans="1:14" ht="25.5">
      <c r="A62" s="193"/>
      <c r="B62" s="232" t="s">
        <v>740</v>
      </c>
      <c r="C62" s="194" t="s">
        <v>300</v>
      </c>
      <c r="D62" s="195" t="s">
        <v>880</v>
      </c>
      <c r="E62" s="193" t="s">
        <v>883</v>
      </c>
      <c r="F62" s="194"/>
      <c r="G62" s="194"/>
      <c r="H62" s="194"/>
      <c r="I62" s="194" t="s">
        <v>741</v>
      </c>
      <c r="J62" s="194"/>
      <c r="K62" s="194"/>
    </row>
    <row r="63" spans="1:14" ht="27">
      <c r="A63" s="193"/>
      <c r="B63" s="232" t="s">
        <v>731</v>
      </c>
      <c r="C63" s="194" t="s">
        <v>300</v>
      </c>
      <c r="D63" s="195" t="s">
        <v>877</v>
      </c>
      <c r="E63" s="193" t="s">
        <v>870</v>
      </c>
      <c r="F63" s="194"/>
      <c r="G63" s="194"/>
      <c r="H63" s="194"/>
      <c r="I63" s="194" t="s">
        <v>732</v>
      </c>
      <c r="J63" s="194"/>
      <c r="K63" s="194"/>
    </row>
    <row r="64" spans="1:14" ht="33">
      <c r="A64" s="193"/>
      <c r="B64" s="232" t="s">
        <v>726</v>
      </c>
      <c r="C64" s="194" t="s">
        <v>300</v>
      </c>
      <c r="D64" s="195" t="s">
        <v>876</v>
      </c>
      <c r="E64" s="193" t="s">
        <v>871</v>
      </c>
      <c r="F64" s="194" t="s">
        <v>727</v>
      </c>
      <c r="G64" s="194" t="s">
        <v>728</v>
      </c>
      <c r="H64" s="194" t="s">
        <v>729</v>
      </c>
      <c r="I64" s="194"/>
      <c r="J64" s="194" t="s">
        <v>730</v>
      </c>
      <c r="K64" s="194"/>
    </row>
    <row r="65" spans="1:14" ht="14.25">
      <c r="A65" s="193"/>
      <c r="B65" s="232" t="s">
        <v>720</v>
      </c>
      <c r="C65" s="194" t="s">
        <v>300</v>
      </c>
      <c r="D65" s="195" t="s">
        <v>874</v>
      </c>
      <c r="E65" s="193" t="s">
        <v>873</v>
      </c>
      <c r="F65" s="194"/>
      <c r="G65" s="194"/>
      <c r="H65" s="194"/>
      <c r="I65" s="194" t="s">
        <v>721</v>
      </c>
      <c r="J65" s="194"/>
      <c r="K65" s="194" t="s">
        <v>722</v>
      </c>
    </row>
    <row r="66" spans="1:14" ht="14.25">
      <c r="A66" s="193"/>
      <c r="B66" s="232" t="s">
        <v>747</v>
      </c>
      <c r="C66" s="194" t="s">
        <v>300</v>
      </c>
      <c r="D66" s="195" t="s">
        <v>891</v>
      </c>
      <c r="E66" s="193" t="s">
        <v>887</v>
      </c>
      <c r="F66" s="194"/>
      <c r="G66" s="194"/>
      <c r="H66" s="194"/>
      <c r="I66" s="194"/>
      <c r="J66" s="194"/>
      <c r="K66" s="194"/>
    </row>
    <row r="67" spans="1:14" ht="25.5">
      <c r="A67" s="193"/>
      <c r="B67" s="232" t="s">
        <v>737</v>
      </c>
      <c r="C67" s="194" t="s">
        <v>300</v>
      </c>
      <c r="D67" s="195" t="s">
        <v>879</v>
      </c>
      <c r="E67" s="193" t="s">
        <v>612</v>
      </c>
      <c r="F67" s="194"/>
      <c r="G67" s="194"/>
      <c r="H67" s="194"/>
      <c r="I67" s="194"/>
      <c r="J67" s="194"/>
      <c r="K67" s="194"/>
    </row>
    <row r="68" spans="1:14" ht="25.5">
      <c r="A68" s="193"/>
      <c r="B68" s="232" t="s">
        <v>742</v>
      </c>
      <c r="C68" s="194" t="s">
        <v>300</v>
      </c>
      <c r="D68" s="195" t="s">
        <v>888</v>
      </c>
      <c r="E68" s="193" t="s">
        <v>884</v>
      </c>
      <c r="F68" s="194"/>
      <c r="G68" s="194"/>
      <c r="H68" s="194"/>
      <c r="I68" s="194" t="s">
        <v>743</v>
      </c>
      <c r="J68" s="194"/>
      <c r="K68" s="194"/>
    </row>
    <row r="69" spans="1:14" ht="41.25">
      <c r="A69" s="193"/>
      <c r="B69" s="232" t="s">
        <v>738</v>
      </c>
      <c r="C69" s="194" t="s">
        <v>300</v>
      </c>
      <c r="D69" s="195" t="s">
        <v>881</v>
      </c>
      <c r="E69" s="193" t="s">
        <v>882</v>
      </c>
      <c r="F69" s="194"/>
      <c r="G69" s="194"/>
      <c r="H69" s="194"/>
      <c r="I69" s="194" t="s">
        <v>739</v>
      </c>
      <c r="J69" s="194"/>
      <c r="K69" s="194"/>
    </row>
    <row r="70" spans="1:14" ht="14.25">
      <c r="A70" s="193"/>
      <c r="B70" s="232" t="s">
        <v>723</v>
      </c>
      <c r="C70" s="194" t="s">
        <v>300</v>
      </c>
      <c r="D70" s="195" t="s">
        <v>875</v>
      </c>
      <c r="E70" s="193" t="s">
        <v>872</v>
      </c>
      <c r="F70" s="194"/>
      <c r="G70" s="194"/>
      <c r="H70" s="194"/>
      <c r="I70" s="194" t="s">
        <v>724</v>
      </c>
      <c r="J70" s="194"/>
      <c r="K70" s="194" t="s">
        <v>725</v>
      </c>
    </row>
    <row r="71" spans="1:14" ht="25.5">
      <c r="A71" s="193"/>
      <c r="B71" s="232" t="s">
        <v>715</v>
      </c>
      <c r="C71" s="194" t="s">
        <v>300</v>
      </c>
      <c r="D71" s="195" t="s">
        <v>869</v>
      </c>
      <c r="E71" s="193" t="s">
        <v>614</v>
      </c>
      <c r="F71" s="194" t="s">
        <v>716</v>
      </c>
      <c r="G71" s="194" t="s">
        <v>717</v>
      </c>
      <c r="H71" s="194" t="s">
        <v>718</v>
      </c>
      <c r="I71" s="194" t="s">
        <v>719</v>
      </c>
      <c r="J71" s="194" t="s">
        <v>718</v>
      </c>
      <c r="K71" s="194"/>
    </row>
    <row r="72" spans="1:14" ht="25.5">
      <c r="A72" s="193"/>
      <c r="B72" s="232" t="s">
        <v>733</v>
      </c>
      <c r="C72" s="194" t="s">
        <v>300</v>
      </c>
      <c r="D72" s="195" t="s">
        <v>878</v>
      </c>
      <c r="E72" s="193" t="s">
        <v>613</v>
      </c>
      <c r="F72" s="194"/>
      <c r="G72" s="194" t="s">
        <v>734</v>
      </c>
      <c r="H72" s="194" t="s">
        <v>733</v>
      </c>
      <c r="I72" s="194" t="s">
        <v>735</v>
      </c>
      <c r="J72" s="194" t="s">
        <v>736</v>
      </c>
      <c r="K72" s="194" t="s">
        <v>736</v>
      </c>
    </row>
    <row r="73" spans="1:14" ht="25.5">
      <c r="A73" s="193"/>
      <c r="B73" s="232" t="s">
        <v>744</v>
      </c>
      <c r="C73" s="194" t="s">
        <v>300</v>
      </c>
      <c r="D73" s="195" t="s">
        <v>889</v>
      </c>
      <c r="E73" s="193" t="s">
        <v>885</v>
      </c>
      <c r="F73" s="194"/>
      <c r="G73" s="194"/>
      <c r="H73" s="194"/>
      <c r="I73" s="194" t="s">
        <v>745</v>
      </c>
      <c r="J73" s="194"/>
      <c r="K73" s="194"/>
    </row>
    <row r="74" spans="1:14" ht="14.25">
      <c r="A74" s="193"/>
      <c r="B74" s="232" t="s">
        <v>746</v>
      </c>
      <c r="C74" s="194" t="s">
        <v>300</v>
      </c>
      <c r="D74" s="195" t="s">
        <v>890</v>
      </c>
      <c r="E74" s="193" t="s">
        <v>886</v>
      </c>
      <c r="F74" s="194"/>
      <c r="G74" s="194"/>
      <c r="H74" s="194"/>
      <c r="I74" s="194"/>
      <c r="J74" s="194"/>
      <c r="K74" s="194"/>
    </row>
    <row r="75" spans="1:14">
      <c r="A75" s="211" t="s">
        <v>935</v>
      </c>
      <c r="B75" s="215"/>
      <c r="C75" s="207"/>
      <c r="D75" s="207"/>
      <c r="E75" s="207"/>
      <c r="F75" s="207"/>
      <c r="G75" s="207"/>
      <c r="H75" s="207"/>
      <c r="I75" s="207"/>
      <c r="J75" s="207"/>
      <c r="K75" s="207"/>
      <c r="L75" s="214"/>
      <c r="M75" s="212"/>
      <c r="N75" s="212"/>
    </row>
    <row r="76" spans="1:14" ht="14.25">
      <c r="A76" s="193"/>
      <c r="B76" s="232" t="s">
        <v>779</v>
      </c>
      <c r="C76" s="194" t="s">
        <v>823</v>
      </c>
      <c r="D76" s="195" t="s">
        <v>910</v>
      </c>
      <c r="E76" s="193" t="s">
        <v>592</v>
      </c>
      <c r="F76" s="194"/>
      <c r="G76" s="194"/>
      <c r="H76" s="194"/>
      <c r="I76" s="194"/>
      <c r="J76" s="194"/>
      <c r="K76" s="194"/>
    </row>
    <row r="77" spans="1:14" ht="25.5">
      <c r="A77" s="193"/>
      <c r="B77" s="232" t="s">
        <v>777</v>
      </c>
      <c r="C77" s="194" t="s">
        <v>823</v>
      </c>
      <c r="D77" s="195" t="s">
        <v>909</v>
      </c>
      <c r="E77" s="193" t="s">
        <v>594</v>
      </c>
      <c r="F77" s="194"/>
      <c r="G77" s="194"/>
      <c r="H77" s="194"/>
      <c r="I77" s="194"/>
      <c r="J77" s="194"/>
      <c r="K77" s="194"/>
    </row>
    <row r="78" spans="1:14" ht="25.5">
      <c r="A78" s="193"/>
      <c r="B78" s="232" t="s">
        <v>778</v>
      </c>
      <c r="C78" s="194" t="s">
        <v>823</v>
      </c>
      <c r="D78" s="195" t="s">
        <v>911</v>
      </c>
      <c r="E78" s="193" t="s">
        <v>593</v>
      </c>
      <c r="F78" s="194"/>
      <c r="G78" s="194"/>
      <c r="H78" s="194"/>
      <c r="I78" s="194"/>
      <c r="J78" s="194"/>
      <c r="K78" s="194"/>
    </row>
    <row r="79" spans="1:14" ht="14.25">
      <c r="A79" s="193"/>
      <c r="B79" s="232" t="s">
        <v>812</v>
      </c>
      <c r="C79" s="194" t="s">
        <v>924</v>
      </c>
      <c r="D79" s="193" t="s">
        <v>923</v>
      </c>
      <c r="E79" s="193" t="s">
        <v>292</v>
      </c>
      <c r="F79" s="194" t="s">
        <v>813</v>
      </c>
      <c r="G79" s="194" t="s">
        <v>813</v>
      </c>
      <c r="H79" s="194" t="s">
        <v>92</v>
      </c>
      <c r="I79" s="194"/>
      <c r="J79" s="194"/>
      <c r="K79" s="194"/>
    </row>
    <row r="80" spans="1:14" ht="14.25">
      <c r="A80" s="193"/>
      <c r="B80" s="232" t="s">
        <v>807</v>
      </c>
      <c r="C80" s="194" t="s">
        <v>323</v>
      </c>
      <c r="D80" s="193" t="s">
        <v>920</v>
      </c>
      <c r="E80" s="193" t="s">
        <v>582</v>
      </c>
      <c r="F80" s="194"/>
      <c r="G80" s="194"/>
      <c r="H80" s="194"/>
      <c r="I80" s="194" t="s">
        <v>808</v>
      </c>
      <c r="J80" s="194"/>
      <c r="K80" s="194"/>
    </row>
    <row r="81" spans="1:11" ht="14.25">
      <c r="A81" s="193"/>
      <c r="B81" s="232" t="s">
        <v>799</v>
      </c>
      <c r="C81" s="194" t="s">
        <v>825</v>
      </c>
      <c r="D81" s="193" t="s">
        <v>588</v>
      </c>
      <c r="E81" s="193" t="s">
        <v>588</v>
      </c>
      <c r="F81" s="194"/>
      <c r="G81" s="194"/>
      <c r="H81" s="194"/>
      <c r="I81" s="194" t="s">
        <v>800</v>
      </c>
      <c r="J81" s="194"/>
      <c r="K81" s="194"/>
    </row>
    <row r="82" spans="1:11" ht="14.25">
      <c r="A82" s="193"/>
      <c r="B82" s="232" t="s">
        <v>805</v>
      </c>
      <c r="C82" s="194" t="s">
        <v>323</v>
      </c>
      <c r="D82" s="193" t="s">
        <v>919</v>
      </c>
      <c r="E82" s="193" t="s">
        <v>583</v>
      </c>
      <c r="F82" s="194"/>
      <c r="G82" s="194"/>
      <c r="H82" s="194"/>
      <c r="I82" s="194" t="s">
        <v>806</v>
      </c>
      <c r="J82" s="194"/>
      <c r="K82" s="194"/>
    </row>
    <row r="83" spans="1:11" ht="14.25">
      <c r="A83" s="193"/>
      <c r="B83" s="232" t="s">
        <v>944</v>
      </c>
      <c r="C83" s="194" t="s">
        <v>823</v>
      </c>
      <c r="D83" s="193" t="s">
        <v>945</v>
      </c>
      <c r="E83" s="193" t="s">
        <v>946</v>
      </c>
      <c r="F83" s="194"/>
      <c r="G83" s="194"/>
      <c r="H83" s="194"/>
      <c r="I83" s="194"/>
      <c r="J83" s="194"/>
      <c r="K83" s="194"/>
    </row>
    <row r="84" spans="1:11" ht="14.25">
      <c r="A84" s="193"/>
      <c r="B84" s="232" t="s">
        <v>801</v>
      </c>
      <c r="C84" s="194" t="s">
        <v>926</v>
      </c>
      <c r="D84" s="193" t="s">
        <v>916</v>
      </c>
      <c r="E84" s="193" t="s">
        <v>587</v>
      </c>
      <c r="F84" s="194"/>
      <c r="G84" s="194"/>
      <c r="H84" s="194"/>
      <c r="I84" s="194" t="s">
        <v>586</v>
      </c>
      <c r="J84" s="194"/>
      <c r="K84" s="194"/>
    </row>
    <row r="85" spans="1:11" ht="14.25">
      <c r="A85" s="193"/>
      <c r="B85" s="232" t="s">
        <v>809</v>
      </c>
      <c r="C85" s="194" t="s">
        <v>138</v>
      </c>
      <c r="D85" s="193" t="s">
        <v>921</v>
      </c>
      <c r="E85" s="193" t="s">
        <v>922</v>
      </c>
      <c r="F85" s="194"/>
      <c r="G85" s="194" t="s">
        <v>810</v>
      </c>
      <c r="H85" s="194" t="s">
        <v>811</v>
      </c>
      <c r="I85" s="194" t="s">
        <v>811</v>
      </c>
      <c r="J85" s="194"/>
      <c r="K85" s="194" t="s">
        <v>811</v>
      </c>
    </row>
    <row r="86" spans="1:11" ht="16.5">
      <c r="A86" s="193"/>
      <c r="B86" s="232" t="s">
        <v>780</v>
      </c>
      <c r="C86" s="194" t="s">
        <v>321</v>
      </c>
      <c r="D86" s="193" t="s">
        <v>912</v>
      </c>
      <c r="E86" s="193" t="s">
        <v>781</v>
      </c>
      <c r="F86" s="194" t="s">
        <v>782</v>
      </c>
      <c r="G86" s="194" t="s">
        <v>782</v>
      </c>
      <c r="H86" s="194" t="s">
        <v>782</v>
      </c>
      <c r="I86" s="194" t="s">
        <v>783</v>
      </c>
      <c r="J86" s="194" t="s">
        <v>784</v>
      </c>
      <c r="K86" s="194" t="s">
        <v>784</v>
      </c>
    </row>
    <row r="87" spans="1:11" ht="16.5">
      <c r="A87" s="193"/>
      <c r="B87" s="232" t="s">
        <v>785</v>
      </c>
      <c r="C87" s="194" t="s">
        <v>321</v>
      </c>
      <c r="D87" s="193" t="s">
        <v>786</v>
      </c>
      <c r="E87" s="193" t="s">
        <v>786</v>
      </c>
      <c r="F87" s="194"/>
      <c r="G87" s="194"/>
      <c r="H87" s="194"/>
      <c r="I87" s="194" t="s">
        <v>787</v>
      </c>
      <c r="J87" s="194"/>
      <c r="K87" s="194" t="s">
        <v>787</v>
      </c>
    </row>
    <row r="88" spans="1:11" ht="16.5">
      <c r="A88" s="193"/>
      <c r="B88" s="232" t="s">
        <v>788</v>
      </c>
      <c r="C88" s="194" t="s">
        <v>321</v>
      </c>
      <c r="D88" s="193" t="s">
        <v>789</v>
      </c>
      <c r="E88" s="193" t="s">
        <v>789</v>
      </c>
      <c r="F88" s="194"/>
      <c r="G88" s="194"/>
      <c r="H88" s="194"/>
      <c r="I88" s="194" t="s">
        <v>790</v>
      </c>
      <c r="J88" s="194"/>
      <c r="K88" s="194" t="s">
        <v>790</v>
      </c>
    </row>
    <row r="89" spans="1:11" ht="14.25">
      <c r="A89" s="193"/>
      <c r="B89" s="194" t="s">
        <v>791</v>
      </c>
      <c r="C89" s="194" t="s">
        <v>321</v>
      </c>
      <c r="D89" s="193" t="s">
        <v>591</v>
      </c>
      <c r="E89" s="193" t="s">
        <v>591</v>
      </c>
      <c r="F89" s="194" t="s">
        <v>792</v>
      </c>
      <c r="G89" s="194" t="s">
        <v>792</v>
      </c>
      <c r="H89" s="194" t="s">
        <v>792</v>
      </c>
      <c r="I89" s="194"/>
      <c r="J89" s="194" t="s">
        <v>790</v>
      </c>
      <c r="K89" s="194"/>
    </row>
    <row r="90" spans="1:11" ht="25.5">
      <c r="A90" s="193"/>
      <c r="B90" s="232" t="s">
        <v>802</v>
      </c>
      <c r="C90" s="194" t="s">
        <v>823</v>
      </c>
      <c r="D90" s="193" t="s">
        <v>917</v>
      </c>
      <c r="E90" s="193" t="s">
        <v>585</v>
      </c>
      <c r="F90" s="194"/>
      <c r="G90" s="194"/>
      <c r="H90" s="194"/>
      <c r="I90" s="194"/>
      <c r="J90" s="194"/>
      <c r="K90" s="194"/>
    </row>
    <row r="91" spans="1:11" ht="27">
      <c r="A91" s="193"/>
      <c r="B91" s="232" t="s">
        <v>793</v>
      </c>
      <c r="C91" s="194" t="s">
        <v>322</v>
      </c>
      <c r="D91" s="193" t="s">
        <v>913</v>
      </c>
      <c r="E91" s="193" t="s">
        <v>914</v>
      </c>
      <c r="F91" s="194"/>
      <c r="G91" s="194" t="s">
        <v>794</v>
      </c>
      <c r="H91" s="194" t="s">
        <v>795</v>
      </c>
      <c r="I91" s="194"/>
      <c r="J91" s="194" t="s">
        <v>795</v>
      </c>
      <c r="K91" s="194" t="s">
        <v>795</v>
      </c>
    </row>
    <row r="92" spans="1:11" ht="28.5">
      <c r="A92" s="193"/>
      <c r="B92" s="232" t="s">
        <v>796</v>
      </c>
      <c r="C92" s="196" t="s">
        <v>322</v>
      </c>
      <c r="D92" s="193" t="s">
        <v>915</v>
      </c>
      <c r="E92" s="193" t="s">
        <v>590</v>
      </c>
      <c r="F92" s="194"/>
      <c r="G92" s="194"/>
      <c r="H92" s="194"/>
      <c r="I92" s="194" t="s">
        <v>797</v>
      </c>
      <c r="J92" s="194"/>
      <c r="K92" s="194"/>
    </row>
    <row r="93" spans="1:11" ht="14.25">
      <c r="A93" s="193"/>
      <c r="B93" s="232" t="s">
        <v>798</v>
      </c>
      <c r="C93" s="196" t="s">
        <v>823</v>
      </c>
      <c r="D93" s="193" t="s">
        <v>589</v>
      </c>
      <c r="E93" s="193" t="s">
        <v>589</v>
      </c>
      <c r="F93" s="194"/>
      <c r="G93" s="194"/>
      <c r="H93" s="194"/>
      <c r="I93" s="194"/>
      <c r="J93" s="194"/>
      <c r="K93" s="194"/>
    </row>
    <row r="94" spans="1:11" ht="14.25">
      <c r="A94" s="193"/>
      <c r="B94" s="232" t="s">
        <v>814</v>
      </c>
      <c r="C94" s="194" t="s">
        <v>925</v>
      </c>
      <c r="D94" s="193" t="s">
        <v>928</v>
      </c>
      <c r="E94" s="193" t="s">
        <v>581</v>
      </c>
      <c r="F94" s="194"/>
      <c r="G94" s="194"/>
      <c r="H94" s="194" t="s">
        <v>815</v>
      </c>
      <c r="I94" s="194" t="s">
        <v>816</v>
      </c>
      <c r="J94" s="194"/>
      <c r="K94" s="194"/>
    </row>
    <row r="95" spans="1:11" ht="14.25">
      <c r="A95" s="193"/>
      <c r="B95" s="232" t="s">
        <v>764</v>
      </c>
      <c r="C95" s="194" t="s">
        <v>824</v>
      </c>
      <c r="D95" s="195" t="s">
        <v>902</v>
      </c>
      <c r="E95" s="193" t="s">
        <v>601</v>
      </c>
      <c r="F95" s="194"/>
      <c r="G95" s="194"/>
      <c r="H95" s="194"/>
      <c r="I95" s="194" t="s">
        <v>765</v>
      </c>
      <c r="J95" s="194"/>
      <c r="K95" s="194"/>
    </row>
    <row r="96" spans="1:11" ht="14.25">
      <c r="A96" s="193"/>
      <c r="B96" s="232" t="s">
        <v>760</v>
      </c>
      <c r="C96" s="194" t="s">
        <v>823</v>
      </c>
      <c r="D96" s="195" t="s">
        <v>899</v>
      </c>
      <c r="E96" s="193" t="s">
        <v>604</v>
      </c>
      <c r="F96" s="194"/>
      <c r="G96" s="194"/>
      <c r="H96" s="194"/>
      <c r="I96" s="194"/>
      <c r="J96" s="194"/>
      <c r="K96" s="194"/>
    </row>
    <row r="97" spans="1:11" ht="14.25">
      <c r="A97" s="193"/>
      <c r="B97" s="232" t="s">
        <v>757</v>
      </c>
      <c r="C97" s="194" t="s">
        <v>823</v>
      </c>
      <c r="D97" s="195" t="s">
        <v>897</v>
      </c>
      <c r="E97" s="193" t="s">
        <v>606</v>
      </c>
      <c r="F97" s="194"/>
      <c r="G97" s="194"/>
      <c r="H97" s="194"/>
      <c r="I97" s="194"/>
      <c r="J97" s="194"/>
      <c r="K97" s="194"/>
    </row>
    <row r="98" spans="1:11" ht="25.5">
      <c r="A98" s="193"/>
      <c r="B98" s="232" t="s">
        <v>773</v>
      </c>
      <c r="C98" s="194" t="s">
        <v>322</v>
      </c>
      <c r="D98" s="195" t="s">
        <v>907</v>
      </c>
      <c r="E98" s="193" t="s">
        <v>596</v>
      </c>
      <c r="F98" s="194"/>
      <c r="G98" s="194"/>
      <c r="H98" s="194"/>
      <c r="I98" s="194" t="s">
        <v>774</v>
      </c>
      <c r="J98" s="194"/>
      <c r="K98" s="194"/>
    </row>
    <row r="99" spans="1:11" ht="14.25">
      <c r="A99" s="193"/>
      <c r="B99" s="232" t="s">
        <v>761</v>
      </c>
      <c r="C99" s="194" t="s">
        <v>823</v>
      </c>
      <c r="D99" s="195" t="s">
        <v>900</v>
      </c>
      <c r="E99" s="193" t="s">
        <v>603</v>
      </c>
      <c r="F99" s="194"/>
      <c r="G99" s="194"/>
      <c r="H99" s="194"/>
      <c r="I99" s="194"/>
      <c r="J99" s="194"/>
      <c r="K99" s="194"/>
    </row>
    <row r="100" spans="1:11" ht="14.25">
      <c r="A100" s="193"/>
      <c r="B100" s="232" t="s">
        <v>756</v>
      </c>
      <c r="C100" s="194" t="s">
        <v>823</v>
      </c>
      <c r="D100" s="195" t="s">
        <v>896</v>
      </c>
      <c r="E100" s="193" t="s">
        <v>607</v>
      </c>
      <c r="F100" s="194"/>
      <c r="G100" s="194"/>
      <c r="H100" s="194"/>
      <c r="I100" s="194"/>
      <c r="J100" s="194"/>
      <c r="K100" s="194"/>
    </row>
    <row r="101" spans="1:11" ht="14.25">
      <c r="A101" s="193"/>
      <c r="B101" s="232" t="s">
        <v>752</v>
      </c>
      <c r="C101" s="194" t="s">
        <v>823</v>
      </c>
      <c r="D101" s="195" t="s">
        <v>608</v>
      </c>
      <c r="E101" s="193" t="s">
        <v>608</v>
      </c>
      <c r="F101" s="194"/>
      <c r="G101" s="194"/>
      <c r="H101" s="194"/>
      <c r="I101" s="194" t="s">
        <v>753</v>
      </c>
      <c r="J101" s="194"/>
      <c r="K101" s="194"/>
    </row>
    <row r="102" spans="1:11" ht="14.25">
      <c r="A102" s="193"/>
      <c r="B102" s="232" t="s">
        <v>754</v>
      </c>
      <c r="C102" s="194" t="s">
        <v>823</v>
      </c>
      <c r="D102" s="195" t="s">
        <v>895</v>
      </c>
      <c r="E102" s="193" t="s">
        <v>895</v>
      </c>
      <c r="F102" s="194"/>
      <c r="G102" s="194"/>
      <c r="H102" s="194"/>
      <c r="I102" s="194" t="s">
        <v>755</v>
      </c>
      <c r="J102" s="194"/>
      <c r="K102" s="194"/>
    </row>
    <row r="103" spans="1:11" ht="14.25">
      <c r="A103" s="193"/>
      <c r="B103" s="194" t="s">
        <v>772</v>
      </c>
      <c r="C103" s="194" t="s">
        <v>823</v>
      </c>
      <c r="D103" s="195" t="s">
        <v>906</v>
      </c>
      <c r="E103" s="193" t="s">
        <v>597</v>
      </c>
      <c r="F103" s="194"/>
      <c r="G103" s="194"/>
      <c r="H103" s="194"/>
      <c r="I103" s="194"/>
      <c r="J103" s="194"/>
      <c r="K103" s="194"/>
    </row>
    <row r="104" spans="1:11" ht="25.5">
      <c r="A104" s="193"/>
      <c r="B104" s="232" t="s">
        <v>748</v>
      </c>
      <c r="C104" s="194" t="s">
        <v>823</v>
      </c>
      <c r="D104" s="195" t="s">
        <v>892</v>
      </c>
      <c r="E104" s="193" t="s">
        <v>611</v>
      </c>
      <c r="F104" s="194"/>
      <c r="G104" s="194"/>
      <c r="H104" s="194"/>
      <c r="I104" s="194"/>
      <c r="J104" s="194"/>
      <c r="K104" s="194"/>
    </row>
    <row r="105" spans="1:11" ht="25.5">
      <c r="A105" s="193"/>
      <c r="B105" s="232" t="s">
        <v>750</v>
      </c>
      <c r="C105" s="194" t="s">
        <v>823</v>
      </c>
      <c r="D105" s="195" t="s">
        <v>894</v>
      </c>
      <c r="E105" s="193" t="s">
        <v>609</v>
      </c>
      <c r="F105" s="194"/>
      <c r="G105" s="194"/>
      <c r="H105" s="194"/>
      <c r="I105" s="194" t="s">
        <v>751</v>
      </c>
      <c r="J105" s="194"/>
      <c r="K105" s="194"/>
    </row>
    <row r="106" spans="1:11" ht="41.25">
      <c r="A106" s="193"/>
      <c r="B106" s="232" t="s">
        <v>762</v>
      </c>
      <c r="C106" s="194" t="s">
        <v>823</v>
      </c>
      <c r="D106" s="195" t="s">
        <v>901</v>
      </c>
      <c r="E106" s="193" t="s">
        <v>602</v>
      </c>
      <c r="F106" s="194"/>
      <c r="G106" s="194" t="s">
        <v>763</v>
      </c>
      <c r="H106" s="194"/>
      <c r="I106" s="194"/>
      <c r="J106" s="194"/>
      <c r="K106" s="194"/>
    </row>
    <row r="107" spans="1:11" ht="14.25">
      <c r="A107" s="193"/>
      <c r="B107" s="232" t="s">
        <v>758</v>
      </c>
      <c r="C107" s="194" t="s">
        <v>823</v>
      </c>
      <c r="D107" s="195" t="s">
        <v>898</v>
      </c>
      <c r="E107" s="193" t="s">
        <v>605</v>
      </c>
      <c r="F107" s="194"/>
      <c r="G107" s="194" t="s">
        <v>759</v>
      </c>
      <c r="H107" s="194"/>
      <c r="I107" s="194"/>
      <c r="J107" s="194"/>
      <c r="K107" s="194"/>
    </row>
    <row r="108" spans="1:11" ht="25.5">
      <c r="A108" s="193"/>
      <c r="B108" s="232" t="s">
        <v>749</v>
      </c>
      <c r="C108" s="194" t="s">
        <v>823</v>
      </c>
      <c r="D108" s="195" t="s">
        <v>893</v>
      </c>
      <c r="E108" s="193" t="s">
        <v>610</v>
      </c>
      <c r="F108" s="194"/>
      <c r="G108" s="194"/>
      <c r="H108" s="194"/>
      <c r="I108" s="194"/>
      <c r="J108" s="194"/>
      <c r="K108" s="194"/>
    </row>
    <row r="109" spans="1:11" ht="25.5">
      <c r="A109" s="193"/>
      <c r="B109" s="232" t="s">
        <v>770</v>
      </c>
      <c r="C109" s="194" t="s">
        <v>322</v>
      </c>
      <c r="D109" s="195" t="s">
        <v>905</v>
      </c>
      <c r="E109" s="193" t="s">
        <v>598</v>
      </c>
      <c r="F109" s="194"/>
      <c r="G109" s="194" t="s">
        <v>771</v>
      </c>
      <c r="H109" s="194" t="s">
        <v>771</v>
      </c>
      <c r="I109" s="194"/>
      <c r="J109" s="194" t="s">
        <v>771</v>
      </c>
      <c r="K109" s="194" t="s">
        <v>771</v>
      </c>
    </row>
    <row r="110" spans="1:11" ht="28.5">
      <c r="A110" s="193"/>
      <c r="B110" s="232" t="s">
        <v>803</v>
      </c>
      <c r="C110" s="194" t="s">
        <v>823</v>
      </c>
      <c r="D110" s="193" t="s">
        <v>918</v>
      </c>
      <c r="E110" s="193" t="s">
        <v>584</v>
      </c>
      <c r="F110" s="194"/>
      <c r="G110" s="194"/>
      <c r="H110" s="194"/>
      <c r="I110" s="194" t="s">
        <v>804</v>
      </c>
      <c r="J110" s="194"/>
      <c r="K110" s="194"/>
    </row>
    <row r="111" spans="1:11" ht="25.5">
      <c r="A111" s="193"/>
      <c r="B111" s="232" t="s">
        <v>768</v>
      </c>
      <c r="C111" s="194" t="s">
        <v>322</v>
      </c>
      <c r="D111" s="195" t="s">
        <v>904</v>
      </c>
      <c r="E111" s="193" t="s">
        <v>599</v>
      </c>
      <c r="F111" s="194"/>
      <c r="G111" s="194"/>
      <c r="H111" s="194"/>
      <c r="I111" s="194" t="s">
        <v>769</v>
      </c>
      <c r="J111" s="194"/>
      <c r="K111" s="194"/>
    </row>
    <row r="112" spans="1:11" ht="25.5">
      <c r="A112" s="193"/>
      <c r="B112" s="232" t="s">
        <v>766</v>
      </c>
      <c r="C112" s="194" t="s">
        <v>322</v>
      </c>
      <c r="D112" s="195" t="s">
        <v>903</v>
      </c>
      <c r="E112" s="193" t="s">
        <v>600</v>
      </c>
      <c r="F112" s="194"/>
      <c r="G112" s="194"/>
      <c r="H112" s="194"/>
      <c r="I112" s="194" t="s">
        <v>767</v>
      </c>
      <c r="J112" s="194"/>
      <c r="K112" s="194"/>
    </row>
    <row r="113" spans="1:14" ht="25.5">
      <c r="A113" s="193"/>
      <c r="B113" s="232" t="s">
        <v>775</v>
      </c>
      <c r="C113" s="194" t="s">
        <v>322</v>
      </c>
      <c r="D113" s="195" t="s">
        <v>908</v>
      </c>
      <c r="E113" s="193" t="s">
        <v>595</v>
      </c>
      <c r="F113" s="194"/>
      <c r="G113" s="194"/>
      <c r="H113" s="194"/>
      <c r="I113" s="194" t="s">
        <v>776</v>
      </c>
      <c r="J113" s="194"/>
      <c r="K113" s="194"/>
    </row>
    <row r="114" spans="1:14">
      <c r="A114" s="211" t="s">
        <v>929</v>
      </c>
      <c r="B114" s="215"/>
      <c r="C114" s="207"/>
      <c r="D114" s="207"/>
      <c r="E114" s="207"/>
      <c r="F114" s="207"/>
      <c r="G114" s="207"/>
      <c r="H114" s="207"/>
      <c r="I114" s="207"/>
      <c r="J114" s="207"/>
      <c r="K114" s="207"/>
      <c r="L114" s="215"/>
      <c r="M114" s="212"/>
      <c r="N114" s="212"/>
    </row>
    <row r="115" spans="1:14" ht="14.25">
      <c r="A115" s="193"/>
      <c r="B115" s="232" t="s">
        <v>817</v>
      </c>
      <c r="C115" s="194" t="s">
        <v>927</v>
      </c>
      <c r="D115" s="195" t="s">
        <v>929</v>
      </c>
      <c r="E115" s="193" t="s">
        <v>580</v>
      </c>
      <c r="F115" s="194"/>
      <c r="G115" s="194"/>
      <c r="H115" s="194"/>
      <c r="I115" s="194" t="s">
        <v>818</v>
      </c>
      <c r="J115" s="194"/>
      <c r="K115" s="194"/>
    </row>
    <row r="116" spans="1:14">
      <c r="A116" s="211" t="s">
        <v>936</v>
      </c>
      <c r="B116" s="215"/>
      <c r="C116" s="207"/>
      <c r="D116" s="207"/>
      <c r="E116" s="207"/>
      <c r="F116" s="207"/>
      <c r="G116" s="207"/>
      <c r="H116" s="207"/>
      <c r="I116" s="207"/>
      <c r="J116" s="207"/>
      <c r="K116" s="207"/>
      <c r="L116" s="215"/>
      <c r="M116" s="212"/>
      <c r="N116" s="212"/>
    </row>
    <row r="117" spans="1:14">
      <c r="A117" s="193"/>
      <c r="B117" s="232" t="s">
        <v>199</v>
      </c>
      <c r="C117" s="194" t="s">
        <v>138</v>
      </c>
      <c r="D117" s="191" t="s">
        <v>988</v>
      </c>
      <c r="E117" s="193" t="s">
        <v>309</v>
      </c>
      <c r="F117" s="194"/>
      <c r="G117" s="194"/>
      <c r="H117" s="194"/>
      <c r="I117" s="194"/>
      <c r="J117" s="194"/>
      <c r="K117" s="194"/>
      <c r="L117" s="213" t="s">
        <v>84</v>
      </c>
    </row>
    <row r="118" spans="1:14" ht="14.25">
      <c r="A118" s="193"/>
      <c r="B118" s="201" t="s">
        <v>944</v>
      </c>
      <c r="C118" s="194" t="s">
        <v>138</v>
      </c>
      <c r="D118" s="191" t="s">
        <v>987</v>
      </c>
      <c r="E118" s="191" t="s">
        <v>985</v>
      </c>
      <c r="F118" s="191"/>
      <c r="G118" s="191"/>
      <c r="H118" s="191"/>
      <c r="I118" s="191"/>
      <c r="J118" s="191"/>
      <c r="K118" s="191"/>
      <c r="L118" s="213" t="s">
        <v>83</v>
      </c>
    </row>
    <row r="119" spans="1:14" ht="14.25">
      <c r="A119" s="193"/>
      <c r="B119" s="232" t="s">
        <v>993</v>
      </c>
      <c r="C119" s="194" t="s">
        <v>138</v>
      </c>
      <c r="D119" s="195" t="s">
        <v>992</v>
      </c>
      <c r="E119" s="193" t="s">
        <v>311</v>
      </c>
      <c r="F119" s="194"/>
      <c r="G119" s="194"/>
      <c r="H119" s="194"/>
      <c r="I119" s="194"/>
      <c r="J119" s="194"/>
      <c r="K119" s="194"/>
      <c r="L119" s="213" t="s">
        <v>87</v>
      </c>
    </row>
    <row r="120" spans="1:14">
      <c r="A120" s="193"/>
      <c r="B120" s="232" t="s">
        <v>991</v>
      </c>
      <c r="C120" s="194" t="s">
        <v>138</v>
      </c>
      <c r="D120" s="195" t="s">
        <v>989</v>
      </c>
      <c r="E120" s="193" t="s">
        <v>986</v>
      </c>
      <c r="F120" s="194"/>
      <c r="G120" s="194"/>
      <c r="H120" s="194"/>
      <c r="I120" s="194"/>
      <c r="J120" s="194"/>
      <c r="K120" s="194"/>
      <c r="L120" s="213" t="s">
        <v>437</v>
      </c>
    </row>
    <row r="121" spans="1:14" ht="14.25">
      <c r="A121" s="193"/>
      <c r="B121" s="232" t="s">
        <v>994</v>
      </c>
      <c r="C121" s="194" t="s">
        <v>138</v>
      </c>
      <c r="D121" s="195" t="s">
        <v>990</v>
      </c>
      <c r="E121" s="193" t="s">
        <v>312</v>
      </c>
      <c r="F121" s="194"/>
      <c r="G121" s="194"/>
      <c r="H121" s="194"/>
      <c r="I121" s="194"/>
      <c r="J121" s="194"/>
      <c r="K121" s="194"/>
      <c r="L121" s="213" t="s">
        <v>173</v>
      </c>
    </row>
    <row r="122" spans="1:14" ht="14.25">
      <c r="A122" s="193"/>
      <c r="B122" s="232" t="s">
        <v>820</v>
      </c>
      <c r="C122" s="194" t="s">
        <v>138</v>
      </c>
      <c r="D122" s="195" t="s">
        <v>931</v>
      </c>
      <c r="E122" s="193" t="s">
        <v>578</v>
      </c>
      <c r="F122" s="194"/>
      <c r="G122" s="194"/>
      <c r="H122" s="194"/>
      <c r="I122" s="194"/>
      <c r="J122" s="194"/>
      <c r="K122" s="194"/>
      <c r="L122" s="201" t="s">
        <v>490</v>
      </c>
      <c r="M122" s="201" t="s">
        <v>109</v>
      </c>
    </row>
    <row r="123" spans="1:14" ht="25.5">
      <c r="A123" s="193"/>
      <c r="B123" s="232" t="s">
        <v>819</v>
      </c>
      <c r="C123" s="194" t="s">
        <v>138</v>
      </c>
      <c r="D123" s="195" t="s">
        <v>930</v>
      </c>
      <c r="E123" s="193" t="s">
        <v>579</v>
      </c>
      <c r="F123" s="194"/>
      <c r="G123" s="194"/>
      <c r="H123" s="194"/>
      <c r="I123" s="194"/>
      <c r="J123" s="194"/>
      <c r="K123" s="194"/>
      <c r="L123" s="213" t="s">
        <v>101</v>
      </c>
    </row>
    <row r="124" spans="1:14" ht="25.5">
      <c r="A124" s="193"/>
      <c r="B124" s="232" t="s">
        <v>1006</v>
      </c>
      <c r="C124" s="194" t="s">
        <v>138</v>
      </c>
      <c r="D124" s="195" t="s">
        <v>1007</v>
      </c>
      <c r="E124" s="193" t="s">
        <v>1008</v>
      </c>
      <c r="F124" s="194"/>
      <c r="G124" s="194"/>
      <c r="H124" s="194"/>
      <c r="I124" s="194"/>
      <c r="J124" s="194"/>
      <c r="K124" s="194"/>
      <c r="L124" s="213" t="s">
        <v>235</v>
      </c>
    </row>
    <row r="125" spans="1:14" ht="15" thickBot="1">
      <c r="A125" s="198"/>
      <c r="B125" s="234" t="s">
        <v>821</v>
      </c>
      <c r="C125" s="194" t="s">
        <v>138</v>
      </c>
      <c r="D125" s="200" t="s">
        <v>932</v>
      </c>
      <c r="E125" s="198" t="s">
        <v>577</v>
      </c>
      <c r="F125" s="199"/>
      <c r="G125" s="199" t="s">
        <v>92</v>
      </c>
      <c r="H125" s="199" t="s">
        <v>822</v>
      </c>
      <c r="I125" s="199"/>
      <c r="J125" s="199"/>
      <c r="K125" s="199"/>
      <c r="L125" s="199" t="s">
        <v>104</v>
      </c>
      <c r="M125" s="199"/>
      <c r="N125" s="199"/>
    </row>
    <row r="126" spans="1:14" ht="13.5" thickTop="1">
      <c r="A126" s="191" t="s">
        <v>954</v>
      </c>
      <c r="B126" s="235"/>
      <c r="C126" s="203"/>
      <c r="D126" s="192"/>
      <c r="E126" s="192"/>
      <c r="F126" s="192"/>
      <c r="G126" s="192"/>
      <c r="H126" s="192"/>
      <c r="I126" s="192"/>
      <c r="J126" s="192"/>
      <c r="K126" s="192"/>
    </row>
    <row r="127" spans="1:14">
      <c r="B127" s="223" t="s">
        <v>948</v>
      </c>
      <c r="C127" s="195"/>
      <c r="D127" s="195"/>
      <c r="E127" s="197"/>
      <c r="F127" s="197"/>
      <c r="G127" s="197"/>
      <c r="H127" s="197"/>
      <c r="I127" s="197"/>
      <c r="J127" s="197"/>
      <c r="K127" s="197"/>
    </row>
    <row r="128" spans="1:14">
      <c r="B128" s="201" t="s">
        <v>949</v>
      </c>
      <c r="C128" s="202"/>
      <c r="D128" s="195"/>
      <c r="E128" s="197"/>
      <c r="F128" s="197"/>
      <c r="G128" s="197"/>
      <c r="H128" s="197"/>
      <c r="I128" s="197"/>
      <c r="J128" s="197"/>
      <c r="K128" s="197"/>
    </row>
    <row r="129" spans="2:11">
      <c r="B129" s="201" t="s">
        <v>950</v>
      </c>
      <c r="C129" s="202"/>
      <c r="D129" s="195"/>
      <c r="E129" s="197"/>
      <c r="F129" s="197"/>
      <c r="G129" s="197"/>
      <c r="H129" s="197"/>
      <c r="I129" s="197"/>
      <c r="J129" s="197"/>
      <c r="K129" s="197"/>
    </row>
    <row r="130" spans="2:11">
      <c r="B130" s="201" t="s">
        <v>951</v>
      </c>
      <c r="C130" s="202"/>
      <c r="D130" s="195"/>
      <c r="E130" s="197"/>
      <c r="F130" s="197"/>
      <c r="G130" s="197"/>
      <c r="H130" s="197"/>
      <c r="I130" s="197"/>
      <c r="J130" s="197"/>
      <c r="K130" s="197"/>
    </row>
    <row r="131" spans="2:11">
      <c r="B131" s="201" t="s">
        <v>952</v>
      </c>
      <c r="C131" s="202"/>
      <c r="D131" s="195"/>
      <c r="E131" s="197"/>
      <c r="F131" s="197"/>
      <c r="G131" s="197"/>
      <c r="H131" s="197"/>
      <c r="I131" s="197"/>
      <c r="J131" s="197"/>
      <c r="K131" s="197"/>
    </row>
    <row r="132" spans="2:11">
      <c r="B132" s="201" t="s">
        <v>953</v>
      </c>
      <c r="E132" s="197"/>
      <c r="F132" s="197"/>
      <c r="G132" s="197"/>
      <c r="H132" s="197"/>
      <c r="I132" s="197"/>
      <c r="J132" s="197"/>
      <c r="K132" s="197"/>
    </row>
    <row r="133" spans="2:11">
      <c r="B133" s="201" t="s">
        <v>933</v>
      </c>
      <c r="E133" s="197"/>
      <c r="F133" s="197"/>
      <c r="G133" s="197"/>
      <c r="H133" s="197"/>
      <c r="I133" s="197"/>
      <c r="J133" s="197"/>
      <c r="K133" s="197"/>
    </row>
    <row r="134" spans="2:11">
      <c r="E134" s="197"/>
      <c r="F134" s="197"/>
      <c r="G134" s="197"/>
      <c r="H134" s="197"/>
      <c r="I134" s="197"/>
      <c r="J134" s="197"/>
      <c r="K134" s="197"/>
    </row>
    <row r="135" spans="2:11">
      <c r="E135" s="197"/>
      <c r="F135" s="197"/>
      <c r="G135" s="197"/>
      <c r="H135" s="197"/>
      <c r="I135" s="197"/>
      <c r="J135" s="197"/>
      <c r="K135" s="197"/>
    </row>
  </sheetData>
  <sortState ref="B117:L125">
    <sortCondition ref="B117"/>
  </sortState>
  <printOptions gridLines="1"/>
  <pageMargins left="0.78740157480314965" right="0.78740157480314965" top="0.98425196850393704" bottom="0.98425196850393704" header="0.51181102362204722" footer="0.51181102362204722"/>
  <pageSetup scale="67" fitToHeight="4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showGridLines="0" workbookViewId="0">
      <selection activeCell="C24" sqref="C24"/>
    </sheetView>
  </sheetViews>
  <sheetFormatPr baseColWidth="10" defaultColWidth="11.42578125" defaultRowHeight="12.75"/>
  <cols>
    <col min="1" max="6" width="11.42578125" style="4"/>
    <col min="7" max="7" width="11.42578125" style="7"/>
    <col min="8" max="16384" width="11.42578125" style="4"/>
  </cols>
  <sheetData>
    <row r="1" spans="1:8">
      <c r="A1" s="5" t="s">
        <v>10</v>
      </c>
      <c r="B1"/>
    </row>
    <row r="2" spans="1:8" ht="18">
      <c r="A2" s="6" t="s">
        <v>11</v>
      </c>
      <c r="B2"/>
    </row>
    <row r="3" spans="1:8" s="7" customFormat="1" ht="13.5" thickBot="1"/>
    <row r="4" spans="1:8" s="7" customFormat="1">
      <c r="A4" s="8"/>
      <c r="B4" s="8"/>
      <c r="C4" s="66"/>
      <c r="D4" s="67"/>
      <c r="E4" s="68"/>
      <c r="F4" s="134"/>
      <c r="G4" s="68"/>
    </row>
    <row r="5" spans="1:8" s="7" customFormat="1" ht="13.5" thickBot="1">
      <c r="A5" s="9"/>
      <c r="B5" s="9"/>
      <c r="C5" s="4"/>
      <c r="E5" s="69" t="s">
        <v>12</v>
      </c>
      <c r="F5" s="135" t="s">
        <v>13</v>
      </c>
      <c r="G5" s="140"/>
    </row>
    <row r="6" spans="1:8" s="7" customFormat="1" ht="13.5" thickBot="1">
      <c r="A6" s="9"/>
      <c r="B6" s="9"/>
      <c r="C6" s="236" t="s">
        <v>5</v>
      </c>
      <c r="D6" s="236"/>
      <c r="E6" s="69"/>
      <c r="F6" s="176" t="s">
        <v>14</v>
      </c>
      <c r="G6" s="140"/>
    </row>
    <row r="7" spans="1:8" s="7" customFormat="1" ht="13.5" thickBot="1">
      <c r="A7" s="9"/>
      <c r="B7" s="9" t="s">
        <v>4</v>
      </c>
      <c r="C7" s="46"/>
      <c r="D7" s="11"/>
      <c r="E7" s="68"/>
      <c r="F7" s="177"/>
      <c r="G7" s="140"/>
    </row>
    <row r="8" spans="1:8" s="7" customFormat="1">
      <c r="A8" s="9"/>
      <c r="B8" s="9"/>
      <c r="C8" s="66"/>
      <c r="D8" s="67"/>
      <c r="E8" s="69"/>
      <c r="F8" s="176"/>
      <c r="G8" s="140"/>
    </row>
    <row r="9" spans="1:8" s="7" customFormat="1" ht="13.5" thickBot="1">
      <c r="A9" s="9"/>
      <c r="B9" s="9"/>
      <c r="C9" s="4"/>
      <c r="E9" s="69" t="s">
        <v>15</v>
      </c>
      <c r="F9" s="135" t="s">
        <v>16</v>
      </c>
      <c r="G9" s="69" t="s">
        <v>17</v>
      </c>
    </row>
    <row r="10" spans="1:8" s="7" customFormat="1">
      <c r="A10" s="9"/>
      <c r="B10" s="9"/>
      <c r="C10" s="12" t="s">
        <v>6</v>
      </c>
      <c r="D10" s="12"/>
      <c r="E10" s="69"/>
      <c r="F10" s="134"/>
      <c r="G10" s="140"/>
      <c r="H10"/>
    </row>
    <row r="11" spans="1:8" s="7" customFormat="1" ht="13.5" thickBot="1">
      <c r="A11" s="9" t="s">
        <v>18</v>
      </c>
      <c r="B11" s="10"/>
      <c r="C11" s="46"/>
      <c r="D11" s="11"/>
      <c r="E11" s="70"/>
      <c r="F11" s="135" t="s">
        <v>19</v>
      </c>
      <c r="G11" s="140"/>
      <c r="H11"/>
    </row>
    <row r="12" spans="1:8" s="7" customFormat="1">
      <c r="A12" s="9"/>
      <c r="B12" s="13"/>
      <c r="C12" s="4"/>
      <c r="D12" s="4"/>
      <c r="E12" s="237"/>
      <c r="F12" s="238"/>
      <c r="G12" s="140"/>
      <c r="H12"/>
    </row>
    <row r="13" spans="1:8" s="7" customFormat="1">
      <c r="A13" s="9"/>
      <c r="B13" s="14"/>
      <c r="E13" s="239"/>
      <c r="F13" s="236"/>
      <c r="G13" s="69"/>
      <c r="H13"/>
    </row>
    <row r="14" spans="1:8" s="7" customFormat="1" ht="13.5" thickBot="1">
      <c r="A14" s="9"/>
      <c r="B14" s="9"/>
      <c r="C14" s="236" t="s">
        <v>8</v>
      </c>
      <c r="D14" s="236"/>
      <c r="E14" s="239" t="s">
        <v>22</v>
      </c>
      <c r="F14" s="236"/>
      <c r="G14" s="69"/>
      <c r="H14"/>
    </row>
    <row r="15" spans="1:8" s="7" customFormat="1" ht="13.5" thickBot="1">
      <c r="A15" s="9"/>
      <c r="B15" s="9"/>
      <c r="C15" s="46"/>
      <c r="D15" s="46"/>
      <c r="E15" s="136"/>
      <c r="F15" s="138"/>
      <c r="G15" s="141"/>
      <c r="H15"/>
    </row>
    <row r="16" spans="1:8" s="7" customFormat="1" ht="13.5" thickBot="1">
      <c r="A16" s="9"/>
      <c r="B16" s="9" t="s">
        <v>7</v>
      </c>
      <c r="C16" s="4"/>
      <c r="D16" s="4"/>
      <c r="E16" s="137"/>
      <c r="F16" s="139"/>
      <c r="G16" s="140"/>
      <c r="H16"/>
    </row>
    <row r="17" spans="1:8" s="7" customFormat="1">
      <c r="A17" s="9"/>
      <c r="B17" s="14"/>
      <c r="E17" s="136"/>
      <c r="F17" s="138"/>
      <c r="G17" s="69" t="s">
        <v>21</v>
      </c>
      <c r="H17"/>
    </row>
    <row r="18" spans="1:8" s="7" customFormat="1">
      <c r="A18" s="9"/>
      <c r="B18" s="14"/>
      <c r="E18" s="136"/>
      <c r="F18" s="138"/>
      <c r="G18" s="140"/>
      <c r="H18"/>
    </row>
    <row r="19" spans="1:8" s="7" customFormat="1">
      <c r="A19" s="9"/>
      <c r="B19" s="14"/>
      <c r="C19" s="236" t="s">
        <v>9</v>
      </c>
      <c r="D19" s="236"/>
      <c r="E19" s="239" t="s">
        <v>20</v>
      </c>
      <c r="F19" s="236"/>
      <c r="G19" s="140"/>
      <c r="H19"/>
    </row>
    <row r="20" spans="1:8" s="7" customFormat="1">
      <c r="A20" s="9"/>
      <c r="B20" s="14"/>
      <c r="C20" s="4"/>
      <c r="D20" s="4"/>
      <c r="E20" s="239"/>
      <c r="F20" s="236"/>
      <c r="G20" s="140"/>
      <c r="H20"/>
    </row>
    <row r="21" spans="1:8" s="7" customFormat="1" ht="13.5" thickBot="1">
      <c r="A21" s="10"/>
      <c r="B21" s="15"/>
      <c r="C21" s="46"/>
      <c r="D21" s="46"/>
      <c r="E21" s="240"/>
      <c r="F21" s="241"/>
      <c r="G21" s="142"/>
      <c r="H21"/>
    </row>
    <row r="22" spans="1:8" s="7" customFormat="1">
      <c r="H22"/>
    </row>
    <row r="23" spans="1:8" s="7" customFormat="1">
      <c r="A23" s="4" t="s">
        <v>23</v>
      </c>
      <c r="H23"/>
    </row>
    <row r="24" spans="1:8">
      <c r="F24" s="7"/>
      <c r="G24" s="4"/>
    </row>
    <row r="25" spans="1:8">
      <c r="A25" s="27"/>
    </row>
    <row r="27" spans="1:8">
      <c r="C27" s="236"/>
      <c r="D27" s="236"/>
    </row>
    <row r="28" spans="1:8">
      <c r="B28" s="7"/>
    </row>
    <row r="31" spans="1:8">
      <c r="C31" s="236"/>
      <c r="D31" s="236"/>
    </row>
  </sheetData>
  <mergeCells count="9">
    <mergeCell ref="C6:D6"/>
    <mergeCell ref="C27:D27"/>
    <mergeCell ref="C31:D31"/>
    <mergeCell ref="C14:D14"/>
    <mergeCell ref="C19:D19"/>
    <mergeCell ref="E12:F13"/>
    <mergeCell ref="E20:F21"/>
    <mergeCell ref="E19:F19"/>
    <mergeCell ref="E14:F14"/>
  </mergeCells>
  <phoneticPr fontId="0" type="noConversion"/>
  <pageMargins left="0.78740157499999996" right="0.78740157499999996" top="0.984251969" bottom="0.984251969" header="0.4921259845" footer="0.4921259845"/>
  <pageSetup scale="140" fitToWidth="2" fitToHeight="2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7"/>
  <sheetViews>
    <sheetView showGridLines="0" topLeftCell="F1" zoomScale="70" zoomScaleNormal="70" workbookViewId="0">
      <selection activeCell="AD22" sqref="AD22:AH30"/>
    </sheetView>
  </sheetViews>
  <sheetFormatPr baseColWidth="10" defaultColWidth="13.5703125" defaultRowHeight="12.75"/>
  <cols>
    <col min="1" max="2" width="13.5703125" style="4"/>
    <col min="3" max="3" width="3" style="4" customWidth="1"/>
    <col min="4" max="13" width="13.5703125" style="4"/>
    <col min="14" max="14" width="4" style="4" bestFit="1" customWidth="1"/>
    <col min="15" max="15" width="5.42578125" style="4" bestFit="1" customWidth="1"/>
    <col min="16" max="16" width="4.42578125" style="4" customWidth="1"/>
    <col min="17" max="17" width="6.42578125" style="4" bestFit="1" customWidth="1"/>
    <col min="18" max="19" width="5.7109375" style="4" bestFit="1" customWidth="1"/>
    <col min="20" max="20" width="6.7109375" style="4" bestFit="1" customWidth="1"/>
    <col min="21" max="21" width="6.42578125" style="4" bestFit="1" customWidth="1"/>
    <col min="22" max="22" width="8.7109375" style="4" bestFit="1" customWidth="1"/>
    <col min="23" max="23" width="7.5703125" style="4" bestFit="1" customWidth="1"/>
    <col min="24" max="24" width="8.28515625" style="4" bestFit="1" customWidth="1"/>
    <col min="25" max="25" width="7.85546875" style="4" bestFit="1" customWidth="1"/>
    <col min="26" max="26" width="9.28515625" style="4" bestFit="1" customWidth="1"/>
    <col min="27" max="27" width="3.140625" style="4" customWidth="1"/>
    <col min="28" max="28" width="10.5703125" style="4" bestFit="1" customWidth="1"/>
    <col min="29" max="16384" width="13.5703125" style="4"/>
  </cols>
  <sheetData>
    <row r="1" spans="1:29" ht="15.75">
      <c r="A1" s="22" t="s">
        <v>417</v>
      </c>
    </row>
    <row r="2" spans="1:29">
      <c r="A2" s="5"/>
    </row>
    <row r="3" spans="1:29" ht="18.75">
      <c r="A3" s="6" t="s">
        <v>78</v>
      </c>
      <c r="F3" s="30"/>
      <c r="G3" s="30"/>
      <c r="M3" s="4" t="s">
        <v>554</v>
      </c>
      <c r="N3" s="242" t="s">
        <v>555</v>
      </c>
      <c r="O3" s="243"/>
      <c r="Q3" s="242" t="s">
        <v>556</v>
      </c>
      <c r="R3" s="244"/>
      <c r="S3" s="244"/>
      <c r="T3" s="244"/>
      <c r="U3" s="243"/>
      <c r="V3" s="242" t="s">
        <v>556</v>
      </c>
      <c r="W3" s="244"/>
      <c r="X3" s="244"/>
      <c r="Y3" s="244"/>
      <c r="Z3" s="178" t="s">
        <v>556</v>
      </c>
    </row>
    <row r="4" spans="1:29" s="16" customFormat="1" ht="16.5" thickBot="1">
      <c r="C4" s="171"/>
      <c r="I4" s="29"/>
      <c r="M4" s="171"/>
      <c r="N4" s="171"/>
      <c r="O4" s="171"/>
      <c r="P4" s="171"/>
      <c r="Q4" s="171"/>
      <c r="R4" s="171"/>
      <c r="S4" s="171"/>
      <c r="T4" s="171"/>
      <c r="U4" s="171"/>
      <c r="V4" s="29"/>
      <c r="W4" s="171"/>
      <c r="X4" s="171"/>
      <c r="Y4" s="171"/>
      <c r="Z4" s="171"/>
      <c r="AA4" s="171"/>
      <c r="AB4" s="171"/>
      <c r="AC4" s="171"/>
    </row>
    <row r="5" spans="1:29" s="16" customFormat="1" ht="13.5" thickBot="1">
      <c r="C5" s="171"/>
      <c r="M5" s="171"/>
      <c r="N5" s="171"/>
      <c r="O5" s="171"/>
      <c r="P5" s="179"/>
      <c r="Q5" s="245" t="s">
        <v>24</v>
      </c>
      <c r="R5" s="245" t="s">
        <v>134</v>
      </c>
      <c r="S5" s="245" t="s">
        <v>557</v>
      </c>
      <c r="T5" s="171"/>
      <c r="U5" s="171"/>
      <c r="V5" s="171"/>
      <c r="W5" s="171"/>
      <c r="X5" s="171"/>
      <c r="Y5" s="171"/>
      <c r="Z5" s="171"/>
      <c r="AA5" s="171"/>
      <c r="AB5" s="171"/>
      <c r="AC5" s="171"/>
    </row>
    <row r="6" spans="1:29" s="16" customFormat="1" ht="13.5" thickBot="1">
      <c r="C6" s="171"/>
      <c r="D6" s="18"/>
      <c r="E6" s="18"/>
      <c r="F6" s="18"/>
      <c r="M6" s="171"/>
      <c r="N6" s="171"/>
      <c r="O6" s="171"/>
      <c r="P6" s="179"/>
      <c r="Q6" s="246"/>
      <c r="R6" s="246"/>
      <c r="S6" s="246"/>
      <c r="T6" s="245" t="s">
        <v>558</v>
      </c>
      <c r="U6" s="245" t="s">
        <v>559</v>
      </c>
      <c r="V6" s="171"/>
      <c r="W6" s="171"/>
      <c r="X6" s="171"/>
      <c r="Y6" s="171"/>
      <c r="Z6" s="171"/>
      <c r="AA6" s="171"/>
      <c r="AB6" s="171"/>
      <c r="AC6" s="171"/>
    </row>
    <row r="7" spans="1:29" s="16" customFormat="1" ht="13.5" thickBot="1">
      <c r="C7" s="171"/>
      <c r="D7" s="14"/>
      <c r="E7" s="20"/>
      <c r="F7" s="20"/>
      <c r="G7" s="18"/>
      <c r="H7" s="18"/>
      <c r="M7" s="171"/>
      <c r="N7" s="171"/>
      <c r="O7" s="171"/>
      <c r="P7" s="179"/>
      <c r="Q7" s="246"/>
      <c r="R7" s="246"/>
      <c r="S7" s="246"/>
      <c r="T7" s="246"/>
      <c r="U7" s="246"/>
      <c r="V7" s="245" t="s">
        <v>560</v>
      </c>
      <c r="W7" s="245" t="s">
        <v>561</v>
      </c>
      <c r="X7" s="171"/>
      <c r="Y7" s="171"/>
      <c r="Z7" s="171"/>
      <c r="AA7" s="171"/>
      <c r="AB7" s="171"/>
      <c r="AC7" s="171"/>
    </row>
    <row r="8" spans="1:29" s="16" customFormat="1" ht="16.5" customHeight="1">
      <c r="C8" s="171"/>
      <c r="D8" s="20"/>
      <c r="E8" s="14"/>
      <c r="F8" s="20" t="s">
        <v>487</v>
      </c>
      <c r="G8" s="20"/>
      <c r="H8" s="20"/>
      <c r="M8" s="171"/>
      <c r="N8" s="171"/>
      <c r="O8" s="171"/>
      <c r="P8" s="179"/>
      <c r="Q8" s="246"/>
      <c r="R8" s="246"/>
      <c r="S8" s="246"/>
      <c r="T8" s="246"/>
      <c r="U8" s="246"/>
      <c r="V8" s="246"/>
      <c r="W8" s="246"/>
      <c r="X8" s="245" t="s">
        <v>562</v>
      </c>
      <c r="Y8" s="245" t="s">
        <v>563</v>
      </c>
      <c r="Z8" s="171"/>
      <c r="AA8" s="171"/>
      <c r="AB8" s="171"/>
      <c r="AC8" s="171"/>
    </row>
    <row r="9" spans="1:29" s="16" customFormat="1" ht="16.5" customHeight="1" thickBot="1">
      <c r="C9" s="171"/>
      <c r="D9" s="20"/>
      <c r="E9" s="20"/>
      <c r="F9" s="20"/>
      <c r="G9" s="14"/>
      <c r="H9" s="20" t="s">
        <v>486</v>
      </c>
      <c r="M9" s="171"/>
      <c r="N9" s="171"/>
      <c r="O9" s="171"/>
      <c r="P9" s="179"/>
      <c r="Q9" s="246"/>
      <c r="R9" s="246"/>
      <c r="S9" s="247"/>
      <c r="T9" s="246"/>
      <c r="U9" s="247"/>
      <c r="V9" s="246"/>
      <c r="W9" s="247"/>
      <c r="X9" s="246"/>
      <c r="Y9" s="247"/>
      <c r="Z9" s="171"/>
      <c r="AA9" s="171"/>
      <c r="AB9" s="132" t="s">
        <v>203</v>
      </c>
    </row>
    <row r="10" spans="1:29" s="16" customFormat="1" ht="13.5" customHeight="1" thickBot="1">
      <c r="C10" s="171"/>
      <c r="D10" s="20" t="s">
        <v>24</v>
      </c>
      <c r="E10" s="20" t="s">
        <v>552</v>
      </c>
      <c r="F10" s="19"/>
      <c r="G10" s="20"/>
      <c r="H10" s="20"/>
      <c r="P10" s="179"/>
      <c r="Q10" s="246"/>
      <c r="R10" s="246"/>
      <c r="S10" s="245" t="s">
        <v>564</v>
      </c>
      <c r="T10" s="246"/>
      <c r="U10" s="245" t="s">
        <v>565</v>
      </c>
      <c r="V10" s="246"/>
      <c r="W10" s="245" t="s">
        <v>566</v>
      </c>
      <c r="X10" s="246"/>
      <c r="Y10" s="245" t="s">
        <v>567</v>
      </c>
      <c r="Z10" s="17" t="s">
        <v>3</v>
      </c>
      <c r="AA10" s="171"/>
      <c r="AB10" s="171" t="s">
        <v>568</v>
      </c>
    </row>
    <row r="11" spans="1:29" s="16" customFormat="1" ht="16.5" customHeight="1" thickBot="1">
      <c r="C11" s="171"/>
      <c r="D11" s="20"/>
      <c r="E11" s="20"/>
      <c r="F11" s="18"/>
      <c r="G11" s="20" t="s">
        <v>553</v>
      </c>
      <c r="H11" s="19"/>
      <c r="I11" s="13"/>
      <c r="J11" s="18"/>
      <c r="M11" s="171"/>
      <c r="N11" s="245" t="s">
        <v>27</v>
      </c>
      <c r="O11" s="245" t="s">
        <v>25</v>
      </c>
      <c r="P11" s="179"/>
      <c r="Q11" s="246"/>
      <c r="R11" s="246"/>
      <c r="S11" s="246"/>
      <c r="T11" s="246"/>
      <c r="U11" s="246"/>
      <c r="V11" s="246"/>
      <c r="W11" s="246"/>
      <c r="X11" s="247"/>
      <c r="Y11" s="247"/>
      <c r="Z11" s="171"/>
      <c r="AA11" s="171"/>
      <c r="AB11" s="171"/>
    </row>
    <row r="12" spans="1:29" s="16" customFormat="1" ht="16.5" thickBot="1">
      <c r="C12" s="171"/>
      <c r="D12" s="20"/>
      <c r="E12" s="20"/>
      <c r="F12" s="20" t="s">
        <v>483</v>
      </c>
      <c r="G12" s="20"/>
      <c r="H12" s="20"/>
      <c r="I12" s="20"/>
      <c r="J12" s="19" t="s">
        <v>26</v>
      </c>
      <c r="M12" s="171"/>
      <c r="N12" s="246"/>
      <c r="O12" s="246"/>
      <c r="P12" s="179"/>
      <c r="Q12" s="246"/>
      <c r="R12" s="246"/>
      <c r="S12" s="246"/>
      <c r="T12" s="246"/>
      <c r="U12" s="246"/>
      <c r="V12" s="247"/>
      <c r="W12" s="247"/>
      <c r="X12" s="171"/>
      <c r="Y12" s="171"/>
      <c r="Z12" s="171"/>
      <c r="AA12" s="171"/>
      <c r="AB12" s="171"/>
      <c r="AC12" s="171"/>
    </row>
    <row r="13" spans="1:29" s="16" customFormat="1" ht="16.5" customHeight="1" thickBot="1">
      <c r="A13" s="18"/>
      <c r="B13" s="18" t="s">
        <v>25</v>
      </c>
      <c r="C13" s="20"/>
      <c r="D13" s="20"/>
      <c r="E13" s="20"/>
      <c r="F13" s="20"/>
      <c r="G13" s="20"/>
      <c r="H13" s="20" t="s">
        <v>482</v>
      </c>
      <c r="I13" s="20" t="s">
        <v>28</v>
      </c>
      <c r="J13" s="18"/>
      <c r="M13" s="171" t="s">
        <v>569</v>
      </c>
      <c r="N13" s="246"/>
      <c r="O13" s="246"/>
      <c r="P13" s="179"/>
      <c r="Q13" s="246"/>
      <c r="R13" s="246"/>
      <c r="S13" s="246"/>
      <c r="T13" s="247"/>
      <c r="U13" s="247"/>
      <c r="V13" s="171"/>
      <c r="W13" s="171"/>
      <c r="X13" s="171"/>
      <c r="Y13" s="171"/>
      <c r="Z13" s="171"/>
      <c r="AA13" s="171"/>
      <c r="AB13" s="171"/>
      <c r="AC13" s="171"/>
    </row>
    <row r="14" spans="1:29" s="16" customFormat="1" ht="16.5" thickBot="1">
      <c r="A14" s="20" t="s">
        <v>27</v>
      </c>
      <c r="B14" s="19"/>
      <c r="C14" s="20"/>
      <c r="D14" s="19"/>
      <c r="E14" s="19"/>
      <c r="F14" s="19"/>
      <c r="G14" s="19"/>
      <c r="H14" s="19"/>
      <c r="I14" s="19"/>
      <c r="J14" s="19" t="s">
        <v>29</v>
      </c>
      <c r="K14" s="17" t="s">
        <v>3</v>
      </c>
      <c r="M14" s="180"/>
      <c r="N14" s="246"/>
      <c r="O14" s="247"/>
      <c r="P14" s="179"/>
      <c r="Q14" s="247"/>
      <c r="R14" s="247"/>
      <c r="S14" s="247"/>
      <c r="T14" s="171"/>
      <c r="U14" s="171"/>
      <c r="V14" s="171"/>
      <c r="W14" s="171"/>
      <c r="X14" s="171"/>
      <c r="Y14" s="171"/>
      <c r="Z14" s="171"/>
      <c r="AA14" s="171"/>
      <c r="AB14" s="171"/>
      <c r="AC14" s="171"/>
    </row>
    <row r="15" spans="1:29" s="16" customFormat="1" ht="13.5" thickBot="1">
      <c r="A15" s="19"/>
      <c r="B15" s="17" t="s">
        <v>30</v>
      </c>
      <c r="C15" s="170"/>
      <c r="M15" s="171" t="s">
        <v>570</v>
      </c>
      <c r="N15" s="247"/>
      <c r="O15" s="17" t="s">
        <v>30</v>
      </c>
      <c r="P15" s="171"/>
      <c r="Q15" s="171"/>
      <c r="R15" s="171"/>
      <c r="S15" s="171"/>
      <c r="T15" s="171"/>
      <c r="U15" s="171"/>
      <c r="V15" s="171"/>
      <c r="W15" s="171"/>
      <c r="X15" s="171"/>
      <c r="Y15" s="171"/>
      <c r="Z15" s="171"/>
      <c r="AA15" s="171"/>
      <c r="AB15" s="171"/>
      <c r="AC15" s="171"/>
    </row>
    <row r="16" spans="1:29" s="16" customFormat="1">
      <c r="C16" s="171"/>
      <c r="M16" s="171"/>
      <c r="N16" s="171"/>
      <c r="O16" s="171"/>
      <c r="P16" s="171"/>
      <c r="Q16" s="171"/>
      <c r="R16" s="171"/>
      <c r="S16" s="171"/>
      <c r="T16" s="171"/>
      <c r="U16" s="171"/>
      <c r="V16" s="171"/>
      <c r="W16" s="171"/>
      <c r="X16" s="171"/>
      <c r="Y16" s="171"/>
      <c r="Z16" s="171"/>
      <c r="AA16" s="171"/>
      <c r="AB16" s="171"/>
      <c r="AC16" s="171"/>
    </row>
    <row r="17" spans="1:34" s="16" customFormat="1">
      <c r="C17" s="171"/>
      <c r="M17" s="181" t="s">
        <v>571</v>
      </c>
      <c r="N17" s="171"/>
      <c r="O17" s="171"/>
      <c r="P17" s="171"/>
      <c r="Q17" s="171"/>
      <c r="R17" s="171"/>
      <c r="S17" s="171"/>
      <c r="T17" s="171"/>
      <c r="U17" s="171"/>
      <c r="V17" s="171"/>
      <c r="W17" s="171"/>
      <c r="X17" s="171"/>
      <c r="Y17" s="171"/>
      <c r="Z17" s="171"/>
      <c r="AA17" s="171"/>
      <c r="AB17" s="171"/>
      <c r="AC17" s="171"/>
    </row>
    <row r="18" spans="1:34" s="16" customFormat="1">
      <c r="C18" s="171"/>
      <c r="M18" s="181" t="s">
        <v>572</v>
      </c>
      <c r="N18" s="171"/>
      <c r="O18" s="171"/>
      <c r="P18" s="171"/>
      <c r="Q18" s="171"/>
      <c r="R18" s="171"/>
      <c r="S18" s="171"/>
      <c r="T18" s="171"/>
      <c r="U18" s="171"/>
      <c r="V18" s="171"/>
      <c r="W18" s="171"/>
      <c r="X18" s="171"/>
      <c r="Y18" s="171"/>
      <c r="Z18" s="171"/>
      <c r="AA18" s="171"/>
      <c r="AB18" s="171"/>
      <c r="AC18" s="171"/>
    </row>
    <row r="19" spans="1:34" s="16" customFormat="1">
      <c r="C19" s="171"/>
      <c r="AA19" s="171"/>
    </row>
    <row r="20" spans="1:34" s="16" customFormat="1">
      <c r="C20" s="171"/>
      <c r="H20" s="16" t="s">
        <v>426</v>
      </c>
      <c r="AA20" s="171"/>
    </row>
    <row r="21" spans="1:34" s="16" customFormat="1" ht="18.75" thickBot="1">
      <c r="C21" s="171"/>
      <c r="H21" s="21" t="s">
        <v>77</v>
      </c>
      <c r="AA21" s="171"/>
      <c r="AD21" s="21" t="s">
        <v>76</v>
      </c>
      <c r="AF21" s="171"/>
      <c r="AG21" s="171"/>
      <c r="AH21" s="171"/>
    </row>
    <row r="22" spans="1:34" s="16" customFormat="1" ht="16.5" thickBot="1">
      <c r="C22" s="171"/>
      <c r="H22" s="18"/>
      <c r="I22" s="18"/>
      <c r="J22" s="18"/>
      <c r="K22" s="18"/>
      <c r="L22" s="18"/>
      <c r="AA22" s="171"/>
      <c r="AD22" s="18"/>
      <c r="AE22" s="23"/>
      <c r="AF22" s="24"/>
      <c r="AG22" s="71" t="s">
        <v>405</v>
      </c>
      <c r="AH22" s="18"/>
    </row>
    <row r="23" spans="1:34" s="16" customFormat="1" ht="16.5" thickBot="1">
      <c r="C23" s="171"/>
      <c r="H23" s="20"/>
      <c r="I23" s="20"/>
      <c r="J23" s="14"/>
      <c r="K23" s="20"/>
      <c r="L23" s="14"/>
      <c r="AA23" s="171"/>
      <c r="AD23" s="20"/>
      <c r="AE23" s="26" t="s">
        <v>401</v>
      </c>
      <c r="AF23" s="172"/>
      <c r="AG23" s="71" t="s">
        <v>406</v>
      </c>
      <c r="AH23" s="20"/>
    </row>
    <row r="24" spans="1:34" s="16" customFormat="1" ht="16.5" thickBot="1">
      <c r="C24" s="171"/>
      <c r="H24" s="20"/>
      <c r="I24" s="20"/>
      <c r="J24" s="20" t="s">
        <v>414</v>
      </c>
      <c r="K24" s="20" t="s">
        <v>414</v>
      </c>
      <c r="L24" s="20"/>
      <c r="AA24" s="171"/>
      <c r="AD24" s="20"/>
      <c r="AE24" s="25"/>
      <c r="AF24" s="175"/>
      <c r="AG24" s="71" t="s">
        <v>407</v>
      </c>
      <c r="AH24" s="20" t="s">
        <v>513</v>
      </c>
    </row>
    <row r="25" spans="1:34" s="16" customFormat="1" ht="16.5" thickBot="1">
      <c r="C25" s="171"/>
      <c r="H25" s="20"/>
      <c r="I25" s="20"/>
      <c r="J25" s="14"/>
      <c r="K25" s="20"/>
      <c r="L25" s="20" t="s">
        <v>512</v>
      </c>
      <c r="AA25" s="171"/>
      <c r="AD25" s="20" t="s">
        <v>400</v>
      </c>
      <c r="AE25" s="13"/>
      <c r="AF25" s="13"/>
      <c r="AG25" s="71" t="s">
        <v>408</v>
      </c>
      <c r="AH25" s="20"/>
    </row>
    <row r="26" spans="1:34" s="16" customFormat="1" ht="16.5" thickBot="1">
      <c r="C26" s="171"/>
      <c r="H26" s="20"/>
      <c r="I26" s="20" t="s">
        <v>411</v>
      </c>
      <c r="J26" s="15"/>
      <c r="K26" s="19"/>
      <c r="L26" s="28"/>
      <c r="AA26" s="171"/>
      <c r="AD26" s="20" t="s">
        <v>399</v>
      </c>
      <c r="AE26" s="14"/>
      <c r="AF26" s="19" t="s">
        <v>402</v>
      </c>
      <c r="AG26" s="71" t="s">
        <v>404</v>
      </c>
      <c r="AH26" s="19"/>
    </row>
    <row r="27" spans="1:34" s="16" customFormat="1" ht="16.5" thickBot="1">
      <c r="C27" s="171"/>
      <c r="H27" s="20" t="s">
        <v>410</v>
      </c>
      <c r="I27" s="20" t="s">
        <v>418</v>
      </c>
      <c r="J27" s="13"/>
      <c r="K27" s="20" t="s">
        <v>415</v>
      </c>
      <c r="L27" s="15"/>
      <c r="AA27" s="171"/>
      <c r="AD27" s="20"/>
      <c r="AE27" s="14"/>
      <c r="AF27" s="143"/>
      <c r="AG27" s="144"/>
      <c r="AH27" s="145"/>
    </row>
    <row r="28" spans="1:34" s="16" customFormat="1" ht="15.75">
      <c r="C28" s="171"/>
      <c r="H28" s="20" t="s">
        <v>409</v>
      </c>
      <c r="I28" s="20"/>
      <c r="J28" s="20" t="s">
        <v>511</v>
      </c>
      <c r="K28" s="18"/>
      <c r="L28" s="20"/>
      <c r="AA28" s="171"/>
      <c r="AD28" s="20"/>
      <c r="AE28" s="20" t="s">
        <v>510</v>
      </c>
      <c r="AF28" s="170"/>
      <c r="AG28" s="171" t="s">
        <v>403</v>
      </c>
      <c r="AH28" s="172"/>
    </row>
    <row r="29" spans="1:34" s="16" customFormat="1" ht="15.75">
      <c r="C29" s="171"/>
      <c r="H29" s="20"/>
      <c r="I29" s="20"/>
      <c r="J29" s="14"/>
      <c r="K29" s="20" t="s">
        <v>416</v>
      </c>
      <c r="L29" s="20" t="s">
        <v>416</v>
      </c>
      <c r="AA29" s="171"/>
      <c r="AD29" s="20"/>
      <c r="AE29" s="14"/>
      <c r="AF29" s="170"/>
      <c r="AG29" s="170" t="s">
        <v>419</v>
      </c>
      <c r="AH29" s="172"/>
    </row>
    <row r="30" spans="1:34" s="16" customFormat="1" ht="13.5" thickBot="1">
      <c r="C30" s="171"/>
      <c r="H30" s="20"/>
      <c r="I30" s="19"/>
      <c r="J30" s="15"/>
      <c r="K30" s="19"/>
      <c r="L30" s="15"/>
      <c r="AA30" s="171"/>
      <c r="AD30" s="19"/>
      <c r="AE30" s="15"/>
      <c r="AF30" s="173"/>
      <c r="AG30" s="174"/>
      <c r="AH30" s="175"/>
    </row>
    <row r="31" spans="1:34" s="16" customFormat="1" ht="15.75">
      <c r="A31"/>
      <c r="C31" s="171"/>
      <c r="G31"/>
      <c r="H31" s="20"/>
      <c r="I31" s="18" t="s">
        <v>413</v>
      </c>
      <c r="AA31" s="171"/>
    </row>
    <row r="32" spans="1:34" s="16" customFormat="1" ht="16.5" thickBot="1">
      <c r="A32" s="31"/>
      <c r="C32" s="171"/>
      <c r="D32"/>
      <c r="G32"/>
      <c r="H32" s="15"/>
      <c r="I32" s="19" t="s">
        <v>412</v>
      </c>
      <c r="J32" s="4"/>
      <c r="K32" s="4"/>
      <c r="L32" s="4"/>
      <c r="AA32" s="171"/>
    </row>
    <row r="33" spans="1:27" s="16" customFormat="1">
      <c r="A33" s="27">
        <f ca="1">TODAY()</f>
        <v>41528</v>
      </c>
      <c r="B33" s="4"/>
      <c r="C33" s="4"/>
      <c r="D33" s="40"/>
      <c r="E33"/>
      <c r="F33"/>
      <c r="G33"/>
      <c r="H33" s="4"/>
      <c r="I33" s="4"/>
      <c r="J33" s="4"/>
      <c r="K33" s="4"/>
      <c r="L33" s="4"/>
      <c r="AA33" s="171"/>
    </row>
    <row r="34" spans="1:27" s="16" customFormat="1">
      <c r="A34"/>
      <c r="B34"/>
      <c r="C34"/>
      <c r="D34"/>
      <c r="AA34" s="171"/>
    </row>
    <row r="35" spans="1:27" s="16" customFormat="1">
      <c r="A35"/>
      <c r="B35"/>
      <c r="C35"/>
      <c r="D35"/>
      <c r="H35" s="16" t="s">
        <v>427</v>
      </c>
      <c r="AA35" s="171"/>
    </row>
    <row r="36" spans="1:27" s="16" customFormat="1" ht="18.75" thickBot="1">
      <c r="A36"/>
      <c r="C36" s="171"/>
      <c r="H36" s="21" t="s">
        <v>77</v>
      </c>
      <c r="AA36" s="171"/>
    </row>
    <row r="37" spans="1:27" s="16" customFormat="1">
      <c r="A37"/>
      <c r="C37" s="171"/>
      <c r="H37" s="18"/>
      <c r="I37" s="18"/>
      <c r="J37" s="18"/>
      <c r="K37" s="18"/>
      <c r="AA37" s="171"/>
    </row>
    <row r="38" spans="1:27" s="16" customFormat="1">
      <c r="A38"/>
      <c r="C38" s="171"/>
      <c r="H38" s="20"/>
      <c r="I38" s="20"/>
      <c r="J38" s="14"/>
      <c r="K38" s="20"/>
      <c r="AA38" s="171"/>
    </row>
    <row r="39" spans="1:27" s="16" customFormat="1" ht="15.75">
      <c r="C39" s="171"/>
      <c r="H39" s="20"/>
      <c r="I39" s="20"/>
      <c r="J39" s="20" t="s">
        <v>414</v>
      </c>
      <c r="K39" s="20" t="s">
        <v>414</v>
      </c>
      <c r="AA39" s="171"/>
    </row>
    <row r="40" spans="1:27" s="16" customFormat="1">
      <c r="A40"/>
      <c r="C40" s="171"/>
      <c r="H40" s="20"/>
      <c r="I40" s="20"/>
      <c r="J40" s="14"/>
      <c r="K40" s="20"/>
      <c r="AA40" s="171"/>
    </row>
    <row r="41" spans="1:27" s="16" customFormat="1" ht="16.5" thickBot="1">
      <c r="A41"/>
      <c r="C41" s="171"/>
      <c r="H41" s="20"/>
      <c r="I41" s="20" t="s">
        <v>411</v>
      </c>
      <c r="J41" s="15"/>
      <c r="K41" s="19"/>
      <c r="AA41" s="171"/>
    </row>
    <row r="42" spans="1:27" ht="16.5" thickBot="1">
      <c r="A42"/>
      <c r="B42"/>
      <c r="C42"/>
      <c r="D42"/>
      <c r="E42"/>
      <c r="H42" s="20" t="s">
        <v>410</v>
      </c>
      <c r="I42" s="20" t="s">
        <v>418</v>
      </c>
      <c r="J42" s="13"/>
      <c r="K42" s="20" t="s">
        <v>429</v>
      </c>
      <c r="L42" s="16"/>
    </row>
    <row r="43" spans="1:27" ht="15.75">
      <c r="A43"/>
      <c r="B43"/>
      <c r="C43"/>
      <c r="D43"/>
      <c r="E43"/>
      <c r="H43" s="20" t="s">
        <v>409</v>
      </c>
      <c r="I43" s="20"/>
      <c r="J43" s="20" t="s">
        <v>428</v>
      </c>
      <c r="K43" s="18"/>
      <c r="L43" s="16"/>
    </row>
    <row r="44" spans="1:27" ht="15.75">
      <c r="A44"/>
      <c r="B44"/>
      <c r="C44"/>
      <c r="D44"/>
      <c r="E44"/>
      <c r="H44" s="20"/>
      <c r="I44" s="20"/>
      <c r="J44" s="14"/>
      <c r="K44" s="20" t="s">
        <v>416</v>
      </c>
      <c r="L44" s="16"/>
    </row>
    <row r="45" spans="1:27" ht="13.5" thickBot="1">
      <c r="A45"/>
      <c r="B45"/>
      <c r="C45"/>
      <c r="D45"/>
      <c r="E45"/>
      <c r="H45" s="20"/>
      <c r="I45" s="19"/>
      <c r="J45" s="15"/>
      <c r="K45" s="19"/>
      <c r="L45" s="16"/>
    </row>
    <row r="46" spans="1:27" ht="15.75">
      <c r="A46"/>
      <c r="H46" s="20"/>
      <c r="I46" s="18" t="s">
        <v>413</v>
      </c>
      <c r="J46" s="16"/>
      <c r="K46" s="16"/>
      <c r="L46" s="16"/>
    </row>
    <row r="47" spans="1:27" ht="16.5" thickBot="1">
      <c r="H47" s="15"/>
      <c r="I47" s="19" t="s">
        <v>412</v>
      </c>
    </row>
  </sheetData>
  <mergeCells count="18">
    <mergeCell ref="N11:N15"/>
    <mergeCell ref="O11:O14"/>
    <mergeCell ref="N3:O3"/>
    <mergeCell ref="Q3:U3"/>
    <mergeCell ref="V3:Y3"/>
    <mergeCell ref="Q5:Q14"/>
    <mergeCell ref="R5:R14"/>
    <mergeCell ref="S5:S9"/>
    <mergeCell ref="T6:T13"/>
    <mergeCell ref="U6:U9"/>
    <mergeCell ref="V7:V12"/>
    <mergeCell ref="W7:W9"/>
    <mergeCell ref="X8:X11"/>
    <mergeCell ref="Y8:Y9"/>
    <mergeCell ref="S10:S14"/>
    <mergeCell ref="U10:U13"/>
    <mergeCell ref="W10:W12"/>
    <mergeCell ref="Y10:Y11"/>
  </mergeCells>
  <phoneticPr fontId="0" type="noConversion"/>
  <printOptions gridLinesSet="0"/>
  <pageMargins left="0.78740157499999996" right="0.78740157499999996" top="1.47" bottom="0.984251969" header="0.4921259845" footer="0.4921259845"/>
  <pageSetup scale="90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>
      <selection activeCell="B48" sqref="B48"/>
    </sheetView>
  </sheetViews>
  <sheetFormatPr baseColWidth="10" defaultRowHeight="12.75"/>
  <cols>
    <col min="1" max="1" width="24" customWidth="1"/>
    <col min="2" max="2" width="11.140625" style="3" customWidth="1"/>
    <col min="3" max="3" width="14.28515625" customWidth="1"/>
    <col min="4" max="4" width="15.85546875" customWidth="1"/>
  </cols>
  <sheetData>
    <row r="1" spans="1:4" s="1" customFormat="1">
      <c r="A1" s="1" t="s">
        <v>0</v>
      </c>
      <c r="B1" s="2"/>
    </row>
    <row r="2" spans="1:4" s="1" customFormat="1">
      <c r="A2" s="1" t="s">
        <v>1</v>
      </c>
      <c r="B2" s="2"/>
    </row>
    <row r="3" spans="1:4" s="1" customFormat="1">
      <c r="A3" s="1" t="s">
        <v>31</v>
      </c>
      <c r="B3" s="2"/>
    </row>
    <row r="4" spans="1:4" s="1" customFormat="1">
      <c r="A4" s="1" t="s">
        <v>75</v>
      </c>
      <c r="B4" s="2"/>
    </row>
    <row r="6" spans="1:4">
      <c r="A6" s="1" t="s">
        <v>32</v>
      </c>
      <c r="B6" s="2"/>
      <c r="C6" s="1"/>
    </row>
    <row r="7" spans="1:4">
      <c r="A7" s="1" t="s">
        <v>2</v>
      </c>
      <c r="B7" s="2"/>
      <c r="C7" s="1"/>
    </row>
    <row r="8" spans="1:4" s="3" customFormat="1">
      <c r="A8" s="39" t="s">
        <v>33</v>
      </c>
      <c r="B8" s="32" t="s">
        <v>51</v>
      </c>
      <c r="C8" s="32" t="s">
        <v>34</v>
      </c>
      <c r="D8" s="32" t="s">
        <v>35</v>
      </c>
    </row>
    <row r="9" spans="1:4" s="3" customFormat="1">
      <c r="A9" s="42" t="s">
        <v>46</v>
      </c>
      <c r="B9" s="32"/>
      <c r="C9" s="32" t="s">
        <v>57</v>
      </c>
      <c r="D9" s="32"/>
    </row>
    <row r="10" spans="1:4">
      <c r="A10" s="33" t="s">
        <v>40</v>
      </c>
      <c r="B10" s="34"/>
      <c r="C10" s="33" t="s">
        <v>58</v>
      </c>
      <c r="D10" s="36"/>
    </row>
    <row r="11" spans="1:4">
      <c r="A11" s="33" t="s">
        <v>39</v>
      </c>
      <c r="B11" s="34" t="s">
        <v>36</v>
      </c>
      <c r="C11" s="33" t="s">
        <v>58</v>
      </c>
      <c r="D11" s="36"/>
    </row>
    <row r="12" spans="1:4">
      <c r="A12" s="33" t="s">
        <v>39</v>
      </c>
      <c r="B12" s="34" t="s">
        <v>37</v>
      </c>
      <c r="C12" s="33" t="s">
        <v>58</v>
      </c>
      <c r="D12" s="36"/>
    </row>
    <row r="13" spans="1:4">
      <c r="A13" s="33" t="s">
        <v>41</v>
      </c>
      <c r="B13" s="34" t="s">
        <v>38</v>
      </c>
      <c r="C13" s="33" t="s">
        <v>58</v>
      </c>
      <c r="D13" s="36"/>
    </row>
    <row r="14" spans="1:4">
      <c r="A14" s="33" t="s">
        <v>41</v>
      </c>
      <c r="B14" s="34" t="s">
        <v>37</v>
      </c>
      <c r="C14" s="33" t="s">
        <v>58</v>
      </c>
      <c r="D14" s="36"/>
    </row>
    <row r="15" spans="1:4">
      <c r="A15" s="41" t="s">
        <v>42</v>
      </c>
      <c r="B15" s="3" t="s">
        <v>37</v>
      </c>
      <c r="C15" s="33" t="s">
        <v>58</v>
      </c>
    </row>
    <row r="16" spans="1:4">
      <c r="A16" s="41" t="s">
        <v>56</v>
      </c>
      <c r="B16" s="3" t="s">
        <v>37</v>
      </c>
      <c r="C16" s="33" t="s">
        <v>58</v>
      </c>
    </row>
    <row r="17" spans="1:4">
      <c r="A17" s="33" t="s">
        <v>43</v>
      </c>
      <c r="B17" s="34" t="s">
        <v>53</v>
      </c>
      <c r="C17" s="33" t="s">
        <v>58</v>
      </c>
      <c r="D17" s="36"/>
    </row>
    <row r="18" spans="1:4">
      <c r="A18" s="35" t="s">
        <v>45</v>
      </c>
      <c r="B18" s="38" t="s">
        <v>52</v>
      </c>
      <c r="C18" s="33" t="s">
        <v>58</v>
      </c>
      <c r="D18" s="38"/>
    </row>
    <row r="19" spans="1:4">
      <c r="A19" s="35" t="s">
        <v>54</v>
      </c>
      <c r="B19" s="34" t="s">
        <v>53</v>
      </c>
      <c r="C19" s="33" t="s">
        <v>58</v>
      </c>
      <c r="D19" s="38"/>
    </row>
    <row r="20" spans="1:4">
      <c r="A20" s="35"/>
      <c r="B20" s="38"/>
      <c r="C20" s="38"/>
      <c r="D20" s="38"/>
    </row>
    <row r="21" spans="1:4">
      <c r="A21" s="35"/>
      <c r="B21" s="38"/>
      <c r="C21" s="38"/>
      <c r="D21" s="38"/>
    </row>
    <row r="22" spans="1:4">
      <c r="A22" s="43" t="s">
        <v>47</v>
      </c>
      <c r="B22" s="38"/>
      <c r="C22" s="38"/>
      <c r="D22" s="38"/>
    </row>
    <row r="23" spans="1:4">
      <c r="A23" s="37" t="s">
        <v>44</v>
      </c>
      <c r="B23" s="38" t="s">
        <v>52</v>
      </c>
      <c r="C23" s="45">
        <v>0.8</v>
      </c>
      <c r="D23" s="38"/>
    </row>
    <row r="24" spans="1:4">
      <c r="A24" s="35" t="s">
        <v>48</v>
      </c>
      <c r="B24" s="38" t="s">
        <v>52</v>
      </c>
      <c r="C24" s="38">
        <v>1.42</v>
      </c>
      <c r="D24" s="38"/>
    </row>
    <row r="25" spans="1:4">
      <c r="A25" s="35" t="s">
        <v>49</v>
      </c>
      <c r="B25" s="38" t="s">
        <v>52</v>
      </c>
      <c r="C25" s="34">
        <v>0.11</v>
      </c>
      <c r="D25" s="38"/>
    </row>
    <row r="26" spans="1:4">
      <c r="A26" s="35" t="s">
        <v>50</v>
      </c>
      <c r="B26" s="38" t="s">
        <v>52</v>
      </c>
      <c r="C26" s="44">
        <v>0.02</v>
      </c>
      <c r="D26" s="38"/>
    </row>
    <row r="27" spans="1:4">
      <c r="A27" s="35" t="s">
        <v>55</v>
      </c>
      <c r="B27" s="38" t="s">
        <v>38</v>
      </c>
      <c r="C27" s="38">
        <v>0.68</v>
      </c>
      <c r="D27" s="38"/>
    </row>
    <row r="28" spans="1:4">
      <c r="A28" s="35"/>
      <c r="B28" s="38"/>
      <c r="C28" s="38"/>
      <c r="D28" s="38"/>
    </row>
  </sheetData>
  <phoneticPr fontId="0" type="noConversion"/>
  <printOptions gridLines="1" gridLinesSet="0"/>
  <pageMargins left="0.78740157499999996" right="0.78740157499999996" top="0.984251969" bottom="0.984251969" header="0.4921259845" footer="0.4921259845"/>
  <pageSetup orientation="portrait" horizontalDpi="4294967292" verticalDpi="0" r:id="rId1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45"/>
  <sheetViews>
    <sheetView showGridLines="0" workbookViewId="0">
      <selection activeCell="M20" sqref="M20"/>
    </sheetView>
  </sheetViews>
  <sheetFormatPr baseColWidth="10" defaultColWidth="11.42578125" defaultRowHeight="12.75"/>
  <cols>
    <col min="1" max="1" width="3.5703125" style="72" customWidth="1"/>
    <col min="2" max="16384" width="11.42578125" style="72"/>
  </cols>
  <sheetData>
    <row r="1" spans="2:11" ht="15.75">
      <c r="B1" s="73" t="s">
        <v>79</v>
      </c>
    </row>
    <row r="2" spans="2:11" ht="15.75">
      <c r="B2" s="73" t="s">
        <v>80</v>
      </c>
    </row>
    <row r="3" spans="2:11">
      <c r="B3" s="72" t="s">
        <v>81</v>
      </c>
    </row>
    <row r="5" spans="2:11" ht="13.5" thickBot="1"/>
    <row r="6" spans="2:11">
      <c r="B6" s="74"/>
      <c r="C6" s="75"/>
      <c r="D6" s="74"/>
      <c r="E6" s="76"/>
      <c r="F6" s="76"/>
      <c r="G6" s="76"/>
      <c r="H6" s="76"/>
      <c r="I6" s="75"/>
      <c r="J6" s="75"/>
      <c r="K6" s="77"/>
    </row>
    <row r="7" spans="2:11">
      <c r="B7" s="78"/>
      <c r="C7" s="79"/>
      <c r="D7" s="78"/>
      <c r="I7" s="79"/>
      <c r="J7" s="79"/>
      <c r="K7" s="80"/>
    </row>
    <row r="8" spans="2:11">
      <c r="B8" s="78"/>
      <c r="C8" s="79"/>
      <c r="D8" s="78"/>
      <c r="I8" s="79"/>
      <c r="J8" s="79"/>
      <c r="K8" s="80"/>
    </row>
    <row r="9" spans="2:11">
      <c r="B9" s="78"/>
      <c r="C9" s="79"/>
      <c r="D9" s="78"/>
      <c r="I9" s="79"/>
      <c r="J9" s="79"/>
      <c r="K9" s="80"/>
    </row>
    <row r="10" spans="2:11">
      <c r="B10" s="78" t="s">
        <v>82</v>
      </c>
      <c r="C10" s="79"/>
      <c r="D10" s="78"/>
      <c r="I10" s="79" t="s">
        <v>83</v>
      </c>
      <c r="J10" s="79"/>
      <c r="K10" s="80"/>
    </row>
    <row r="11" spans="2:11">
      <c r="B11" s="78"/>
      <c r="C11" s="79"/>
      <c r="D11" s="78"/>
      <c r="I11" s="79"/>
      <c r="J11" s="79"/>
      <c r="K11" s="80"/>
    </row>
    <row r="12" spans="2:11">
      <c r="B12" s="78"/>
      <c r="C12" s="79"/>
      <c r="D12" s="78"/>
      <c r="I12" s="79"/>
      <c r="J12" s="79"/>
      <c r="K12" s="80"/>
    </row>
    <row r="13" spans="2:11">
      <c r="B13" s="78"/>
      <c r="C13" s="79"/>
      <c r="D13" s="78"/>
      <c r="I13" s="79"/>
      <c r="J13" s="79"/>
      <c r="K13" s="80"/>
    </row>
    <row r="14" spans="2:11" ht="13.5" thickBot="1">
      <c r="B14" s="78"/>
      <c r="C14" s="79"/>
      <c r="D14" s="78"/>
      <c r="H14" s="81"/>
      <c r="I14" s="82"/>
      <c r="J14" s="79" t="s">
        <v>84</v>
      </c>
      <c r="K14" s="80"/>
    </row>
    <row r="15" spans="2:11" ht="13.5" thickTop="1">
      <c r="B15" s="83"/>
      <c r="C15" s="84"/>
      <c r="D15" s="85"/>
      <c r="E15" s="86"/>
      <c r="F15" s="84"/>
      <c r="G15" s="87"/>
      <c r="I15" s="80"/>
      <c r="J15" s="79"/>
      <c r="K15" s="80"/>
    </row>
    <row r="16" spans="2:11">
      <c r="B16" s="88" t="s">
        <v>85</v>
      </c>
      <c r="C16" s="79"/>
      <c r="D16" s="78"/>
      <c r="F16" s="79"/>
      <c r="G16" s="89"/>
      <c r="I16" s="80"/>
      <c r="J16" s="79"/>
      <c r="K16" s="80"/>
    </row>
    <row r="17" spans="2:11" ht="13.5" thickBot="1">
      <c r="B17" s="90"/>
      <c r="C17" s="82"/>
      <c r="D17" s="78"/>
      <c r="F17" s="79" t="s">
        <v>86</v>
      </c>
      <c r="G17" s="89"/>
      <c r="H17" s="72" t="s">
        <v>87</v>
      </c>
      <c r="I17" s="80"/>
      <c r="J17" s="79"/>
      <c r="K17" s="80"/>
    </row>
    <row r="18" spans="2:11">
      <c r="B18" s="91" t="s">
        <v>88</v>
      </c>
      <c r="C18" s="74"/>
      <c r="D18" s="92"/>
      <c r="E18" s="93"/>
      <c r="F18" s="79"/>
      <c r="G18" s="89"/>
      <c r="I18" s="80"/>
      <c r="J18" s="79"/>
      <c r="K18" s="80"/>
    </row>
    <row r="19" spans="2:11" ht="13.5" thickBot="1">
      <c r="B19" s="94"/>
      <c r="C19" s="78" t="s">
        <v>89</v>
      </c>
      <c r="D19" s="95" t="s">
        <v>90</v>
      </c>
      <c r="E19" s="96"/>
      <c r="F19" s="79"/>
      <c r="G19" s="89"/>
      <c r="I19" s="80"/>
      <c r="J19" s="79"/>
      <c r="K19" s="80"/>
    </row>
    <row r="20" spans="2:11">
      <c r="B20" s="91" t="s">
        <v>91</v>
      </c>
      <c r="C20" s="78" t="s">
        <v>92</v>
      </c>
      <c r="D20" s="95"/>
      <c r="E20" s="96"/>
      <c r="F20" s="79"/>
      <c r="G20" s="89"/>
      <c r="I20" s="80"/>
      <c r="J20" s="79"/>
      <c r="K20" s="80"/>
    </row>
    <row r="21" spans="2:11" ht="13.5" thickBot="1">
      <c r="B21" s="94"/>
      <c r="C21" s="97"/>
      <c r="D21" s="98" t="s">
        <v>93</v>
      </c>
      <c r="E21" s="96"/>
      <c r="F21" s="82"/>
      <c r="G21" s="89"/>
      <c r="H21" s="81"/>
      <c r="I21" s="80"/>
      <c r="J21" s="82"/>
      <c r="K21" s="80" t="s">
        <v>94</v>
      </c>
    </row>
    <row r="22" spans="2:11">
      <c r="B22" s="99"/>
      <c r="C22" s="76"/>
      <c r="D22" s="100"/>
      <c r="E22" s="96" t="s">
        <v>95</v>
      </c>
      <c r="F22" s="75"/>
      <c r="G22" s="89" t="s">
        <v>96</v>
      </c>
      <c r="H22" s="76"/>
      <c r="I22" s="80" t="s">
        <v>97</v>
      </c>
      <c r="J22" s="75"/>
      <c r="K22" s="80"/>
    </row>
    <row r="23" spans="2:11">
      <c r="B23" s="88"/>
      <c r="D23" s="95"/>
      <c r="E23" s="96"/>
      <c r="F23" s="79"/>
      <c r="G23" s="89"/>
      <c r="I23" s="80"/>
      <c r="J23" s="79"/>
      <c r="K23" s="80"/>
    </row>
    <row r="24" spans="2:11">
      <c r="B24" s="88"/>
      <c r="D24" s="95"/>
      <c r="E24" s="96" t="s">
        <v>98</v>
      </c>
      <c r="F24" s="79"/>
      <c r="G24" s="89"/>
      <c r="I24" s="80"/>
      <c r="J24" s="79"/>
      <c r="K24" s="80"/>
    </row>
    <row r="25" spans="2:11">
      <c r="B25" s="88"/>
      <c r="D25" s="95"/>
      <c r="E25" s="96"/>
      <c r="F25" s="79"/>
      <c r="G25" s="89"/>
      <c r="I25" s="80"/>
      <c r="J25" s="79"/>
      <c r="K25" s="80"/>
    </row>
    <row r="26" spans="2:11">
      <c r="B26" s="88"/>
      <c r="C26" s="72" t="s">
        <v>99</v>
      </c>
      <c r="D26" s="95" t="s">
        <v>100</v>
      </c>
      <c r="E26" s="96"/>
      <c r="F26" s="79"/>
      <c r="G26" s="89"/>
      <c r="I26" s="80"/>
      <c r="J26" s="79"/>
      <c r="K26" s="80"/>
    </row>
    <row r="27" spans="2:11" ht="13.5" thickBot="1">
      <c r="B27" s="88"/>
      <c r="D27" s="95"/>
      <c r="E27" s="96"/>
      <c r="F27" s="79"/>
      <c r="G27" s="89"/>
      <c r="H27" s="72" t="s">
        <v>101</v>
      </c>
      <c r="I27" s="80"/>
      <c r="J27" s="79"/>
      <c r="K27" s="80"/>
    </row>
    <row r="28" spans="2:11">
      <c r="B28" s="91"/>
      <c r="D28" s="95" t="s">
        <v>102</v>
      </c>
      <c r="E28" s="96"/>
      <c r="F28" s="79"/>
      <c r="G28" s="89"/>
      <c r="I28" s="80"/>
      <c r="J28" s="79"/>
      <c r="K28" s="80"/>
    </row>
    <row r="29" spans="2:11">
      <c r="B29" s="101" t="s">
        <v>103</v>
      </c>
      <c r="D29" s="95"/>
      <c r="E29" s="96"/>
      <c r="F29" s="79"/>
      <c r="G29" s="89"/>
      <c r="I29" s="80"/>
      <c r="J29" s="79" t="s">
        <v>104</v>
      </c>
      <c r="K29" s="80"/>
    </row>
    <row r="30" spans="2:11" ht="13.5" thickBot="1">
      <c r="B30" s="94"/>
      <c r="D30" s="95"/>
      <c r="E30" s="96"/>
      <c r="F30" s="79"/>
      <c r="G30" s="89"/>
      <c r="I30" s="80"/>
      <c r="J30" s="79"/>
      <c r="K30" s="80"/>
    </row>
    <row r="31" spans="2:11" ht="13.5" thickBot="1">
      <c r="B31" s="102" t="s">
        <v>105</v>
      </c>
      <c r="C31" s="81"/>
      <c r="D31" s="103"/>
      <c r="E31" s="104"/>
      <c r="F31" s="79" t="s">
        <v>106</v>
      </c>
      <c r="G31" s="89"/>
      <c r="I31" s="80"/>
      <c r="J31" s="79"/>
      <c r="K31" s="80"/>
    </row>
    <row r="32" spans="2:11">
      <c r="B32" s="99"/>
      <c r="C32" s="75"/>
      <c r="D32" s="78"/>
      <c r="F32" s="79"/>
      <c r="G32" s="89"/>
      <c r="I32" s="80"/>
      <c r="J32" s="79"/>
      <c r="K32" s="80"/>
    </row>
    <row r="33" spans="2:11">
      <c r="B33" s="88" t="s">
        <v>107</v>
      </c>
      <c r="C33" s="79"/>
      <c r="D33" s="78"/>
      <c r="F33" s="79"/>
      <c r="G33" s="89"/>
      <c r="I33" s="80"/>
      <c r="J33" s="79"/>
      <c r="K33" s="80"/>
    </row>
    <row r="34" spans="2:11" ht="13.5" thickBot="1">
      <c r="B34" s="105"/>
      <c r="C34" s="106"/>
      <c r="D34" s="107"/>
      <c r="E34" s="108"/>
      <c r="F34" s="106"/>
      <c r="G34" s="109"/>
      <c r="I34" s="80"/>
      <c r="J34" s="79"/>
      <c r="K34" s="80"/>
    </row>
    <row r="35" spans="2:11" ht="13.5" thickTop="1">
      <c r="B35" s="78"/>
      <c r="C35" s="79"/>
      <c r="D35" s="78"/>
      <c r="H35" s="76"/>
      <c r="I35" s="75"/>
      <c r="J35" s="79"/>
      <c r="K35" s="80"/>
    </row>
    <row r="36" spans="2:11">
      <c r="B36" s="78" t="s">
        <v>108</v>
      </c>
      <c r="C36" s="79"/>
      <c r="D36" s="78"/>
      <c r="I36" s="79" t="s">
        <v>109</v>
      </c>
      <c r="J36" s="79"/>
      <c r="K36" s="80"/>
    </row>
    <row r="37" spans="2:11" ht="13.5" thickBot="1">
      <c r="B37" s="97"/>
      <c r="C37" s="82"/>
      <c r="D37" s="97"/>
      <c r="E37" s="81"/>
      <c r="F37" s="81"/>
      <c r="G37" s="81"/>
      <c r="H37" s="81"/>
      <c r="I37" s="82"/>
      <c r="J37" s="82"/>
      <c r="K37" s="110"/>
    </row>
    <row r="39" spans="2:11">
      <c r="B39" s="72" t="s">
        <v>110</v>
      </c>
    </row>
    <row r="40" spans="2:11" ht="13.5" thickBot="1"/>
    <row r="41" spans="2:11" ht="14.25" thickTop="1" thickBot="1">
      <c r="B41" s="111"/>
      <c r="C41" s="112" t="s">
        <v>111</v>
      </c>
    </row>
    <row r="42" spans="2:11" ht="14.25" thickTop="1" thickBot="1"/>
    <row r="43" spans="2:11" ht="13.5" thickBot="1">
      <c r="B43" s="113"/>
      <c r="C43" s="112" t="s">
        <v>112</v>
      </c>
    </row>
    <row r="45" spans="2:11">
      <c r="B45" s="114"/>
      <c r="C45" s="112" t="s">
        <v>113</v>
      </c>
    </row>
  </sheetData>
  <phoneticPr fontId="0" type="noConversion"/>
  <printOptions gridLinesSet="0"/>
  <pageMargins left="0.78740157499999996" right="0.78740157499999996" top="0.984251969" bottom="0.984251969" header="0.4921259845" footer="0.4921259845"/>
  <pageSetup scale="82" orientation="landscape" r:id="rId1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5"/>
  <sheetViews>
    <sheetView showGridLines="0" zoomScale="85" zoomScaleNormal="85" workbookViewId="0">
      <selection activeCell="Q34" sqref="Q34"/>
    </sheetView>
  </sheetViews>
  <sheetFormatPr baseColWidth="10" defaultColWidth="11.42578125" defaultRowHeight="12.75"/>
  <cols>
    <col min="1" max="1" width="1.42578125" style="72" customWidth="1"/>
    <col min="2" max="2" width="11.5703125" style="72" customWidth="1"/>
    <col min="3" max="4" width="11.42578125" style="72"/>
    <col min="5" max="5" width="12" style="72" customWidth="1"/>
    <col min="6" max="6" width="2.5703125" style="72" customWidth="1"/>
    <col min="7" max="14" width="11.42578125" style="72"/>
    <col min="15" max="15" width="1.28515625" style="72" customWidth="1"/>
    <col min="16" max="16384" width="11.42578125" style="72"/>
  </cols>
  <sheetData>
    <row r="1" spans="1:14" ht="15.75">
      <c r="A1" s="73" t="s">
        <v>79</v>
      </c>
    </row>
    <row r="2" spans="1:14" ht="15.75">
      <c r="A2" s="73" t="s">
        <v>80</v>
      </c>
    </row>
    <row r="3" spans="1:14">
      <c r="B3" s="72" t="s">
        <v>548</v>
      </c>
    </row>
    <row r="5" spans="1:14" ht="13.5" thickBot="1">
      <c r="B5" s="122" t="s">
        <v>209</v>
      </c>
    </row>
    <row r="6" spans="1:14">
      <c r="G6" s="74"/>
      <c r="H6" s="75"/>
      <c r="I6" s="76"/>
      <c r="J6" s="76"/>
      <c r="K6" s="76"/>
      <c r="L6" s="75"/>
      <c r="M6" s="75"/>
      <c r="N6" s="77"/>
    </row>
    <row r="7" spans="1:14">
      <c r="G7" s="78"/>
      <c r="H7" s="79"/>
      <c r="L7" s="79"/>
      <c r="M7" s="79"/>
      <c r="N7" s="80"/>
    </row>
    <row r="8" spans="1:14">
      <c r="G8" s="78"/>
      <c r="H8" s="79"/>
      <c r="L8" s="79"/>
      <c r="M8" s="79"/>
      <c r="N8" s="80"/>
    </row>
    <row r="9" spans="1:14">
      <c r="G9" s="78"/>
      <c r="H9" s="79"/>
      <c r="L9" s="79"/>
      <c r="M9" s="79"/>
      <c r="N9" s="80"/>
    </row>
    <row r="10" spans="1:14" ht="15.75">
      <c r="G10" s="78" t="s">
        <v>496</v>
      </c>
      <c r="H10" s="79"/>
      <c r="L10" s="79" t="s">
        <v>83</v>
      </c>
      <c r="M10" s="79"/>
      <c r="N10" s="80"/>
    </row>
    <row r="11" spans="1:14">
      <c r="G11" s="78">
        <v>224</v>
      </c>
      <c r="H11" s="79"/>
      <c r="L11" s="163">
        <v>224</v>
      </c>
      <c r="M11" s="79"/>
      <c r="N11" s="80"/>
    </row>
    <row r="12" spans="1:14">
      <c r="G12" s="78"/>
      <c r="H12" s="79"/>
      <c r="L12" s="79"/>
      <c r="M12" s="79"/>
      <c r="N12" s="80"/>
    </row>
    <row r="13" spans="1:14">
      <c r="G13" s="78"/>
      <c r="H13" s="79"/>
      <c r="L13" s="79"/>
      <c r="M13" s="79"/>
      <c r="N13" s="80"/>
    </row>
    <row r="14" spans="1:14" ht="13.5" thickBot="1">
      <c r="G14" s="78"/>
      <c r="H14" s="79"/>
      <c r="K14" s="81"/>
      <c r="L14" s="82"/>
      <c r="M14" s="79" t="s">
        <v>84</v>
      </c>
      <c r="N14" s="80"/>
    </row>
    <row r="15" spans="1:14" ht="13.5" thickTop="1">
      <c r="G15" s="83"/>
      <c r="H15" s="86"/>
      <c r="I15" s="83"/>
      <c r="J15" s="155"/>
      <c r="L15" s="77"/>
      <c r="M15" s="163">
        <v>374</v>
      </c>
      <c r="N15" s="80"/>
    </row>
    <row r="16" spans="1:14" ht="15.75">
      <c r="G16" s="88" t="s">
        <v>497</v>
      </c>
      <c r="I16" s="88"/>
      <c r="J16" s="156"/>
      <c r="L16" s="80"/>
      <c r="M16" s="79"/>
      <c r="N16" s="80"/>
    </row>
    <row r="17" spans="2:16" ht="16.5" thickBot="1">
      <c r="G17" s="105">
        <v>17</v>
      </c>
      <c r="H17" s="108"/>
      <c r="I17" s="88" t="s">
        <v>504</v>
      </c>
      <c r="J17" s="156"/>
      <c r="K17" s="72" t="s">
        <v>87</v>
      </c>
      <c r="L17" s="80"/>
      <c r="M17" s="79"/>
      <c r="N17" s="80"/>
    </row>
    <row r="18" spans="2:16" ht="13.5" thickTop="1">
      <c r="D18" s="149"/>
      <c r="E18" s="153"/>
      <c r="G18" s="83" t="s">
        <v>550</v>
      </c>
      <c r="H18" s="83"/>
      <c r="I18" s="88">
        <v>71</v>
      </c>
      <c r="J18" s="156"/>
      <c r="K18" s="163">
        <v>150</v>
      </c>
      <c r="L18" s="80"/>
      <c r="M18" s="79"/>
      <c r="N18" s="80"/>
    </row>
    <row r="19" spans="2:16" ht="16.5" thickBot="1">
      <c r="D19" s="150" t="s">
        <v>493</v>
      </c>
      <c r="E19" s="154"/>
      <c r="G19" s="105">
        <v>8</v>
      </c>
      <c r="H19" s="88" t="s">
        <v>503</v>
      </c>
      <c r="I19" s="88"/>
      <c r="J19" s="156"/>
      <c r="L19" s="80"/>
      <c r="M19" s="79"/>
      <c r="N19" s="80"/>
    </row>
    <row r="20" spans="2:16" ht="16.5" thickTop="1">
      <c r="B20" s="153" t="s">
        <v>492</v>
      </c>
      <c r="C20" s="153"/>
      <c r="D20" s="150">
        <v>50</v>
      </c>
      <c r="E20" s="154"/>
      <c r="G20" s="88" t="s">
        <v>549</v>
      </c>
      <c r="H20" s="88">
        <v>54</v>
      </c>
      <c r="I20" s="88"/>
      <c r="J20" s="156"/>
      <c r="L20" s="80"/>
      <c r="M20" s="79"/>
      <c r="N20" s="80"/>
    </row>
    <row r="21" spans="2:16" ht="13.5" thickBot="1">
      <c r="B21" s="152">
        <v>33</v>
      </c>
      <c r="C21" s="154"/>
      <c r="D21" s="151"/>
      <c r="E21" s="154"/>
      <c r="G21" s="88">
        <v>46</v>
      </c>
      <c r="H21" s="105"/>
      <c r="I21" s="105"/>
      <c r="J21" s="156"/>
      <c r="K21" s="81"/>
      <c r="L21" s="80"/>
      <c r="M21" s="82"/>
      <c r="N21" s="80" t="s">
        <v>94</v>
      </c>
    </row>
    <row r="22" spans="2:16" ht="16.5" thickTop="1">
      <c r="B22" s="154"/>
      <c r="C22" s="154" t="s">
        <v>491</v>
      </c>
      <c r="D22" s="150"/>
      <c r="E22" s="154" t="s">
        <v>495</v>
      </c>
      <c r="G22" s="83"/>
      <c r="H22" s="83"/>
      <c r="I22" s="83"/>
      <c r="J22" s="156" t="s">
        <v>96</v>
      </c>
      <c r="K22" s="76"/>
      <c r="L22" s="80" t="s">
        <v>97</v>
      </c>
      <c r="M22" s="75"/>
      <c r="N22" s="163">
        <v>504</v>
      </c>
    </row>
    <row r="23" spans="2:16">
      <c r="B23" s="154"/>
      <c r="C23" s="166">
        <v>133</v>
      </c>
      <c r="D23" s="150"/>
      <c r="E23" s="154">
        <v>200</v>
      </c>
      <c r="G23" s="88"/>
      <c r="H23" s="88"/>
      <c r="I23" s="88"/>
      <c r="J23" s="165">
        <v>339</v>
      </c>
      <c r="L23" s="80">
        <v>251</v>
      </c>
      <c r="M23" s="79"/>
      <c r="N23" s="80"/>
    </row>
    <row r="24" spans="2:16" ht="15.75">
      <c r="B24" s="154" t="s">
        <v>573</v>
      </c>
      <c r="C24" s="154"/>
      <c r="D24" s="150"/>
      <c r="E24" s="154"/>
      <c r="G24" s="88" t="s">
        <v>499</v>
      </c>
      <c r="H24" s="88"/>
      <c r="I24" s="88"/>
      <c r="J24" s="156"/>
      <c r="L24" s="80"/>
      <c r="M24" s="79"/>
      <c r="N24" s="80"/>
    </row>
    <row r="25" spans="2:16">
      <c r="B25" s="154">
        <v>100</v>
      </c>
      <c r="C25" s="154"/>
      <c r="D25" s="150"/>
      <c r="E25" s="154"/>
      <c r="G25" s="88">
        <v>217</v>
      </c>
      <c r="H25" s="88"/>
      <c r="I25" s="88"/>
      <c r="J25" s="156"/>
      <c r="L25" s="80"/>
      <c r="M25" s="79"/>
      <c r="N25" s="80"/>
    </row>
    <row r="26" spans="2:16" ht="15.75">
      <c r="B26" s="154"/>
      <c r="C26" s="154"/>
      <c r="D26" s="150" t="s">
        <v>494</v>
      </c>
      <c r="E26" s="154"/>
      <c r="G26" s="88"/>
      <c r="H26" s="88" t="s">
        <v>499</v>
      </c>
      <c r="I26" s="88"/>
      <c r="J26" s="156"/>
      <c r="L26" s="80"/>
      <c r="M26" s="79"/>
      <c r="N26" s="80"/>
    </row>
    <row r="27" spans="2:16" ht="13.5" thickBot="1">
      <c r="B27" s="152"/>
      <c r="C27" s="152"/>
      <c r="D27" s="150">
        <v>150</v>
      </c>
      <c r="E27" s="154"/>
      <c r="G27" s="105"/>
      <c r="H27" s="88">
        <v>224</v>
      </c>
      <c r="I27" s="88"/>
      <c r="J27" s="156"/>
      <c r="K27" s="72" t="s">
        <v>101</v>
      </c>
      <c r="L27" s="80"/>
      <c r="M27" s="79"/>
      <c r="N27" s="80"/>
    </row>
    <row r="28" spans="2:16">
      <c r="D28" s="150"/>
      <c r="E28" s="154"/>
      <c r="G28" s="88"/>
      <c r="H28" s="88"/>
      <c r="I28" s="88"/>
      <c r="J28" s="156"/>
      <c r="K28" s="164">
        <v>101</v>
      </c>
      <c r="L28" s="80"/>
      <c r="M28" s="79"/>
      <c r="N28" s="80"/>
    </row>
    <row r="29" spans="2:16" ht="15.75">
      <c r="D29" s="150"/>
      <c r="E29" s="154"/>
      <c r="G29" s="88" t="s">
        <v>500</v>
      </c>
      <c r="H29" s="88"/>
      <c r="I29" s="88"/>
      <c r="J29" s="156"/>
      <c r="L29" s="80"/>
      <c r="M29" s="79" t="s">
        <v>104</v>
      </c>
      <c r="N29" s="80"/>
      <c r="P29" s="169"/>
    </row>
    <row r="30" spans="2:16" ht="13.5" thickBot="1">
      <c r="D30" s="151"/>
      <c r="E30" s="152"/>
      <c r="G30" s="88">
        <v>7</v>
      </c>
      <c r="H30" s="88"/>
      <c r="I30" s="88"/>
      <c r="J30" s="156"/>
      <c r="L30" s="80"/>
      <c r="M30" s="163">
        <v>130</v>
      </c>
      <c r="N30" s="80"/>
    </row>
    <row r="31" spans="2:16" ht="16.5" thickBot="1">
      <c r="G31" s="88"/>
      <c r="H31" s="88"/>
      <c r="I31" s="88" t="s">
        <v>505</v>
      </c>
      <c r="J31" s="156"/>
      <c r="L31" s="80"/>
      <c r="M31" s="79"/>
      <c r="N31" s="80"/>
    </row>
    <row r="32" spans="2:16" ht="13.5" thickTop="1">
      <c r="G32" s="83"/>
      <c r="H32" s="86"/>
      <c r="I32" s="88">
        <v>268</v>
      </c>
      <c r="J32" s="156"/>
      <c r="L32" s="80"/>
      <c r="M32" s="79"/>
      <c r="N32" s="80"/>
    </row>
    <row r="33" spans="2:14" ht="15.75">
      <c r="G33" s="88" t="s">
        <v>501</v>
      </c>
      <c r="I33" s="88"/>
      <c r="J33" s="156"/>
      <c r="L33" s="80"/>
      <c r="M33" s="79"/>
      <c r="N33" s="80"/>
    </row>
    <row r="34" spans="2:14" ht="13.5" thickBot="1">
      <c r="G34" s="105">
        <v>44</v>
      </c>
      <c r="H34" s="108"/>
      <c r="I34" s="105"/>
      <c r="J34" s="157"/>
      <c r="L34" s="110"/>
      <c r="M34" s="79"/>
      <c r="N34" s="80"/>
    </row>
    <row r="35" spans="2:14" ht="13.5" thickTop="1">
      <c r="G35" s="78"/>
      <c r="H35" s="79"/>
      <c r="K35" s="76"/>
      <c r="L35" s="75"/>
      <c r="M35" s="79"/>
      <c r="N35" s="80"/>
    </row>
    <row r="36" spans="2:14" ht="15.75">
      <c r="G36" s="78" t="s">
        <v>502</v>
      </c>
      <c r="H36" s="79"/>
      <c r="L36" s="79" t="s">
        <v>490</v>
      </c>
      <c r="M36" s="79"/>
      <c r="N36" s="80"/>
    </row>
    <row r="37" spans="2:14" ht="13.5" thickBot="1">
      <c r="G37" s="97">
        <v>29</v>
      </c>
      <c r="H37" s="82"/>
      <c r="I37" s="81"/>
      <c r="J37" s="81"/>
      <c r="K37" s="81"/>
      <c r="L37" s="167">
        <v>29</v>
      </c>
      <c r="M37" s="82"/>
      <c r="N37" s="110"/>
    </row>
    <row r="39" spans="2:14">
      <c r="B39" s="72" t="s">
        <v>110</v>
      </c>
    </row>
    <row r="40" spans="2:14" ht="13.5" thickBot="1"/>
    <row r="41" spans="2:14" ht="14.25" thickTop="1" thickBot="1">
      <c r="B41" s="111"/>
      <c r="C41" s="112" t="s">
        <v>508</v>
      </c>
      <c r="G41" s="168" t="s">
        <v>574</v>
      </c>
      <c r="H41" s="168"/>
      <c r="I41" s="168"/>
      <c r="J41" s="168"/>
      <c r="K41" s="168"/>
      <c r="L41" s="168"/>
      <c r="M41" s="168"/>
    </row>
    <row r="42" spans="2:14" ht="14.25" thickTop="1" thickBot="1">
      <c r="G42" s="112" t="s">
        <v>551</v>
      </c>
    </row>
    <row r="43" spans="2:14" ht="13.5" thickBot="1">
      <c r="B43" s="113"/>
      <c r="C43" s="112" t="s">
        <v>507</v>
      </c>
    </row>
    <row r="44" spans="2:14" ht="13.5" thickBot="1"/>
    <row r="45" spans="2:14" ht="13.5" thickBot="1">
      <c r="B45" s="158"/>
      <c r="C45" s="112" t="s">
        <v>506</v>
      </c>
    </row>
  </sheetData>
  <pageMargins left="0.78740157499999996" right="0.78740157499999996" top="0.984251969" bottom="0.984251969" header="0.4921259845" footer="0.4921259845"/>
  <pageSetup orientation="portrait" r:id="rId1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5"/>
  <sheetViews>
    <sheetView zoomScale="85" zoomScaleNormal="85" workbookViewId="0">
      <selection activeCell="P43" sqref="P43"/>
    </sheetView>
  </sheetViews>
  <sheetFormatPr baseColWidth="10" defaultColWidth="11.42578125" defaultRowHeight="12.75"/>
  <cols>
    <col min="1" max="1" width="1.42578125" style="72" customWidth="1"/>
    <col min="2" max="2" width="11.5703125" style="72" customWidth="1"/>
    <col min="3" max="4" width="11.42578125" style="72"/>
    <col min="5" max="5" width="12" style="72" customWidth="1"/>
    <col min="6" max="6" width="2.5703125" style="72" customWidth="1"/>
    <col min="7" max="16384" width="11.42578125" style="72"/>
  </cols>
  <sheetData>
    <row r="1" spans="1:14" ht="15.75">
      <c r="A1" s="73" t="s">
        <v>79</v>
      </c>
    </row>
    <row r="2" spans="1:14" ht="15.75">
      <c r="A2" s="73" t="s">
        <v>80</v>
      </c>
    </row>
    <row r="3" spans="1:14">
      <c r="A3" s="72" t="s">
        <v>489</v>
      </c>
    </row>
    <row r="4" spans="1:14">
      <c r="A4" s="122" t="s">
        <v>209</v>
      </c>
    </row>
    <row r="5" spans="1:14" ht="13.5" thickBot="1"/>
    <row r="6" spans="1:14">
      <c r="G6" s="74"/>
      <c r="H6" s="75"/>
      <c r="I6" s="76"/>
      <c r="J6" s="76"/>
      <c r="K6" s="76"/>
      <c r="L6" s="75"/>
      <c r="M6" s="75"/>
      <c r="N6" s="77"/>
    </row>
    <row r="7" spans="1:14">
      <c r="G7" s="78"/>
      <c r="H7" s="79"/>
      <c r="L7" s="79"/>
      <c r="M7" s="79"/>
      <c r="N7" s="80"/>
    </row>
    <row r="8" spans="1:14">
      <c r="G8" s="78"/>
      <c r="H8" s="79"/>
      <c r="L8" s="79"/>
      <c r="M8" s="79"/>
      <c r="N8" s="80"/>
    </row>
    <row r="9" spans="1:14">
      <c r="G9" s="78"/>
      <c r="H9" s="79"/>
      <c r="L9" s="79"/>
      <c r="M9" s="79"/>
      <c r="N9" s="80"/>
    </row>
    <row r="10" spans="1:14" ht="15.75">
      <c r="G10" s="78" t="s">
        <v>496</v>
      </c>
      <c r="H10" s="79"/>
      <c r="L10" s="79" t="s">
        <v>83</v>
      </c>
      <c r="M10" s="79"/>
      <c r="N10" s="80"/>
    </row>
    <row r="11" spans="1:14">
      <c r="G11" s="78">
        <v>160</v>
      </c>
      <c r="H11" s="79"/>
      <c r="L11" s="163">
        <v>160</v>
      </c>
      <c r="M11" s="79"/>
      <c r="N11" s="80"/>
    </row>
    <row r="12" spans="1:14">
      <c r="G12" s="78"/>
      <c r="H12" s="79"/>
      <c r="L12" s="79"/>
      <c r="M12" s="79"/>
      <c r="N12" s="80"/>
    </row>
    <row r="13" spans="1:14">
      <c r="G13" s="78"/>
      <c r="H13" s="79"/>
      <c r="L13" s="79"/>
      <c r="M13" s="79"/>
      <c r="N13" s="80"/>
    </row>
    <row r="14" spans="1:14" ht="13.5" thickBot="1">
      <c r="G14" s="78"/>
      <c r="H14" s="79"/>
      <c r="K14" s="81"/>
      <c r="L14" s="82"/>
      <c r="M14" s="79" t="s">
        <v>84</v>
      </c>
      <c r="N14" s="80"/>
    </row>
    <row r="15" spans="1:14" ht="13.5" thickTop="1">
      <c r="G15" s="83"/>
      <c r="H15" s="86"/>
      <c r="I15" s="83"/>
      <c r="J15" s="155"/>
      <c r="L15" s="77"/>
      <c r="M15" s="163">
        <v>270</v>
      </c>
      <c r="N15" s="80"/>
    </row>
    <row r="16" spans="1:14" ht="15.75">
      <c r="G16" s="88" t="s">
        <v>497</v>
      </c>
      <c r="I16" s="88"/>
      <c r="J16" s="156"/>
      <c r="L16" s="80"/>
      <c r="M16" s="79"/>
      <c r="N16" s="80"/>
    </row>
    <row r="17" spans="2:16" ht="16.5" thickBot="1">
      <c r="G17" s="105">
        <v>30</v>
      </c>
      <c r="H17" s="108"/>
      <c r="I17" s="88" t="s">
        <v>504</v>
      </c>
      <c r="J17" s="156"/>
      <c r="K17" s="72" t="s">
        <v>87</v>
      </c>
      <c r="L17" s="80"/>
      <c r="M17" s="79"/>
      <c r="N17" s="80"/>
    </row>
    <row r="18" spans="2:16" ht="13.5" thickTop="1">
      <c r="D18" s="149"/>
      <c r="E18" s="153"/>
      <c r="G18" s="83">
        <v>30</v>
      </c>
      <c r="H18" s="83"/>
      <c r="I18" s="88">
        <v>80</v>
      </c>
      <c r="J18" s="156"/>
      <c r="K18" s="163">
        <v>110</v>
      </c>
      <c r="L18" s="80"/>
      <c r="M18" s="79"/>
      <c r="N18" s="80"/>
    </row>
    <row r="19" spans="2:16" ht="16.5" thickBot="1">
      <c r="D19" s="150" t="s">
        <v>493</v>
      </c>
      <c r="E19" s="154"/>
      <c r="G19" s="105">
        <v>20</v>
      </c>
      <c r="H19" s="88" t="s">
        <v>503</v>
      </c>
      <c r="I19" s="88"/>
      <c r="J19" s="156"/>
      <c r="L19" s="80"/>
      <c r="M19" s="79"/>
      <c r="N19" s="80"/>
    </row>
    <row r="20" spans="2:16" ht="16.5" thickTop="1">
      <c r="B20" s="153" t="s">
        <v>492</v>
      </c>
      <c r="C20" s="153"/>
      <c r="D20" s="150">
        <v>45</v>
      </c>
      <c r="E20" s="154"/>
      <c r="G20" s="88" t="s">
        <v>498</v>
      </c>
      <c r="H20" s="88">
        <v>50</v>
      </c>
      <c r="I20" s="88"/>
      <c r="J20" s="156"/>
      <c r="L20" s="80"/>
      <c r="M20" s="79"/>
      <c r="N20" s="80"/>
    </row>
    <row r="21" spans="2:16" ht="13.5" thickBot="1">
      <c r="B21" s="152">
        <v>30</v>
      </c>
      <c r="C21" s="154"/>
      <c r="D21" s="151"/>
      <c r="E21" s="154"/>
      <c r="G21" s="88">
        <v>20</v>
      </c>
      <c r="H21" s="105"/>
      <c r="I21" s="105"/>
      <c r="J21" s="156"/>
      <c r="K21" s="81"/>
      <c r="L21" s="80"/>
      <c r="M21" s="82"/>
      <c r="N21" s="80" t="s">
        <v>94</v>
      </c>
    </row>
    <row r="22" spans="2:16" ht="16.5" thickTop="1">
      <c r="B22" s="154"/>
      <c r="C22" s="154" t="s">
        <v>491</v>
      </c>
      <c r="D22" s="150"/>
      <c r="E22" s="154" t="s">
        <v>495</v>
      </c>
      <c r="G22" s="83"/>
      <c r="H22" s="83"/>
      <c r="I22" s="83"/>
      <c r="J22" s="156" t="s">
        <v>96</v>
      </c>
      <c r="K22" s="76"/>
      <c r="L22" s="80" t="s">
        <v>97</v>
      </c>
      <c r="M22" s="75"/>
      <c r="N22" s="163">
        <v>390</v>
      </c>
    </row>
    <row r="23" spans="2:16">
      <c r="B23" s="154"/>
      <c r="C23" s="166">
        <v>120</v>
      </c>
      <c r="D23" s="150"/>
      <c r="E23" s="154">
        <v>175</v>
      </c>
      <c r="G23" s="88"/>
      <c r="H23" s="88"/>
      <c r="I23" s="88"/>
      <c r="J23" s="165">
        <v>250</v>
      </c>
      <c r="L23" s="80">
        <v>205</v>
      </c>
      <c r="M23" s="79"/>
      <c r="N23" s="80"/>
    </row>
    <row r="24" spans="2:16" ht="15.75">
      <c r="B24" s="154" t="s">
        <v>492</v>
      </c>
      <c r="C24" s="154"/>
      <c r="D24" s="150"/>
      <c r="E24" s="154"/>
      <c r="G24" s="88" t="s">
        <v>499</v>
      </c>
      <c r="H24" s="88"/>
      <c r="I24" s="88"/>
      <c r="J24" s="156"/>
      <c r="L24" s="80"/>
      <c r="M24" s="79"/>
      <c r="N24" s="80"/>
    </row>
    <row r="25" spans="2:16">
      <c r="B25" s="154">
        <v>90</v>
      </c>
      <c r="C25" s="154"/>
      <c r="D25" s="150"/>
      <c r="E25" s="154"/>
      <c r="G25" s="88">
        <v>115</v>
      </c>
      <c r="H25" s="88"/>
      <c r="I25" s="88"/>
      <c r="J25" s="156"/>
      <c r="L25" s="80"/>
      <c r="M25" s="79"/>
      <c r="N25" s="80"/>
    </row>
    <row r="26" spans="2:16" ht="15.75">
      <c r="B26" s="154"/>
      <c r="C26" s="154"/>
      <c r="D26" s="150" t="s">
        <v>494</v>
      </c>
      <c r="E26" s="154"/>
      <c r="G26" s="88"/>
      <c r="H26" s="88" t="s">
        <v>499</v>
      </c>
      <c r="I26" s="88"/>
      <c r="J26" s="156"/>
      <c r="L26" s="80"/>
      <c r="M26" s="79"/>
      <c r="N26" s="80"/>
    </row>
    <row r="27" spans="2:16" ht="13.5" thickBot="1">
      <c r="B27" s="152"/>
      <c r="C27" s="152"/>
      <c r="D27" s="150">
        <v>130</v>
      </c>
      <c r="E27" s="154"/>
      <c r="G27" s="105"/>
      <c r="H27" s="88">
        <v>145</v>
      </c>
      <c r="I27" s="88"/>
      <c r="J27" s="156"/>
      <c r="K27" s="72" t="s">
        <v>101</v>
      </c>
      <c r="L27" s="80"/>
      <c r="M27" s="79"/>
      <c r="N27" s="80"/>
    </row>
    <row r="28" spans="2:16">
      <c r="D28" s="150"/>
      <c r="E28" s="154"/>
      <c r="G28" s="88"/>
      <c r="H28" s="88"/>
      <c r="I28" s="88"/>
      <c r="J28" s="156"/>
      <c r="K28" s="164">
        <v>95</v>
      </c>
      <c r="L28" s="80"/>
      <c r="M28" s="79"/>
      <c r="N28" s="80"/>
    </row>
    <row r="29" spans="2:16" ht="15.75">
      <c r="D29" s="150"/>
      <c r="E29" s="154"/>
      <c r="G29" s="88" t="s">
        <v>500</v>
      </c>
      <c r="H29" s="88"/>
      <c r="I29" s="88"/>
      <c r="J29" s="156"/>
      <c r="L29" s="80"/>
      <c r="M29" s="79" t="s">
        <v>104</v>
      </c>
      <c r="N29" s="80"/>
      <c r="P29" s="169"/>
    </row>
    <row r="30" spans="2:16" ht="13.5" thickBot="1">
      <c r="D30" s="151"/>
      <c r="E30" s="152"/>
      <c r="G30" s="88">
        <v>30</v>
      </c>
      <c r="H30" s="88"/>
      <c r="I30" s="88"/>
      <c r="J30" s="156"/>
      <c r="L30" s="80"/>
      <c r="M30" s="163">
        <v>120</v>
      </c>
      <c r="N30" s="80"/>
    </row>
    <row r="31" spans="2:16" ht="16.5" thickBot="1">
      <c r="G31" s="88"/>
      <c r="H31" s="88"/>
      <c r="I31" s="88" t="s">
        <v>505</v>
      </c>
      <c r="J31" s="156"/>
      <c r="L31" s="80"/>
      <c r="M31" s="79"/>
      <c r="N31" s="80"/>
    </row>
    <row r="32" spans="2:16" ht="13.5" thickTop="1">
      <c r="G32" s="83"/>
      <c r="H32" s="86"/>
      <c r="I32" s="88">
        <v>170</v>
      </c>
      <c r="J32" s="156"/>
      <c r="L32" s="80"/>
      <c r="M32" s="79"/>
      <c r="N32" s="80"/>
    </row>
    <row r="33" spans="2:14" ht="15.75">
      <c r="G33" s="88" t="s">
        <v>501</v>
      </c>
      <c r="I33" s="88"/>
      <c r="J33" s="156"/>
      <c r="L33" s="80"/>
      <c r="M33" s="79"/>
      <c r="N33" s="80"/>
    </row>
    <row r="34" spans="2:14" ht="13.5" thickBot="1">
      <c r="G34" s="105">
        <v>25</v>
      </c>
      <c r="H34" s="108"/>
      <c r="I34" s="105"/>
      <c r="J34" s="157"/>
      <c r="L34" s="110"/>
      <c r="M34" s="79"/>
      <c r="N34" s="80"/>
    </row>
    <row r="35" spans="2:14" ht="13.5" thickTop="1">
      <c r="G35" s="78"/>
      <c r="H35" s="79"/>
      <c r="K35" s="76"/>
      <c r="L35" s="75"/>
      <c r="M35" s="79"/>
      <c r="N35" s="80"/>
    </row>
    <row r="36" spans="2:14" ht="15.75">
      <c r="G36" s="78" t="s">
        <v>502</v>
      </c>
      <c r="H36" s="79"/>
      <c r="L36" s="79" t="s">
        <v>490</v>
      </c>
      <c r="M36" s="79"/>
      <c r="N36" s="80"/>
    </row>
    <row r="37" spans="2:14" ht="13.5" thickBot="1">
      <c r="G37" s="97">
        <v>25</v>
      </c>
      <c r="H37" s="82"/>
      <c r="I37" s="81"/>
      <c r="J37" s="81"/>
      <c r="K37" s="81"/>
      <c r="L37" s="167">
        <v>25</v>
      </c>
      <c r="M37" s="82"/>
      <c r="N37" s="110"/>
    </row>
    <row r="39" spans="2:14">
      <c r="B39" s="72" t="s">
        <v>110</v>
      </c>
    </row>
    <row r="40" spans="2:14" ht="13.5" thickBot="1"/>
    <row r="41" spans="2:14" ht="17.25" thickTop="1" thickBot="1">
      <c r="B41" s="111"/>
      <c r="C41" s="112" t="s">
        <v>508</v>
      </c>
      <c r="G41" s="168" t="s">
        <v>547</v>
      </c>
      <c r="H41" s="164"/>
      <c r="I41" s="164"/>
      <c r="J41" s="164"/>
      <c r="K41" s="164"/>
      <c r="L41" s="164"/>
      <c r="M41" s="164"/>
      <c r="N41" s="164"/>
    </row>
    <row r="42" spans="2:14" ht="14.25" thickTop="1" thickBot="1">
      <c r="G42" s="168" t="s">
        <v>509</v>
      </c>
      <c r="H42" s="164"/>
      <c r="I42" s="164"/>
      <c r="J42" s="164"/>
      <c r="K42" s="164"/>
      <c r="L42" s="164"/>
      <c r="M42" s="164"/>
      <c r="N42" s="164"/>
    </row>
    <row r="43" spans="2:14" ht="13.5" thickBot="1">
      <c r="B43" s="113"/>
      <c r="C43" s="112" t="s">
        <v>507</v>
      </c>
    </row>
    <row r="44" spans="2:14" ht="13.5" thickBot="1"/>
    <row r="45" spans="2:14" ht="13.5" thickBot="1">
      <c r="B45" s="158"/>
      <c r="C45" s="112" t="s">
        <v>506</v>
      </c>
    </row>
  </sheetData>
  <phoneticPr fontId="0" type="noConversion"/>
  <pageMargins left="0.78740157499999996" right="0.78740157499999996" top="0.984251969" bottom="0.984251969" header="0.4921259845" footer="0.4921259845"/>
  <pageSetup orientation="portrait" r:id="rId1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44"/>
  <sheetViews>
    <sheetView showGridLines="0" topLeftCell="A13" workbookViewId="0">
      <selection activeCell="N20" sqref="N20"/>
    </sheetView>
  </sheetViews>
  <sheetFormatPr baseColWidth="10" defaultColWidth="11.42578125" defaultRowHeight="12.75"/>
  <cols>
    <col min="1" max="1" width="3.7109375" style="72" customWidth="1"/>
    <col min="2" max="11" width="11.42578125" style="72"/>
    <col min="12" max="12" width="3.5703125" style="72" customWidth="1"/>
    <col min="13" max="16384" width="11.42578125" style="72"/>
  </cols>
  <sheetData>
    <row r="1" spans="2:11" ht="15.75">
      <c r="B1" s="73" t="s">
        <v>79</v>
      </c>
    </row>
    <row r="2" spans="2:11" ht="15.75">
      <c r="B2" s="73" t="s">
        <v>80</v>
      </c>
    </row>
    <row r="3" spans="2:11">
      <c r="B3" s="72" t="s">
        <v>81</v>
      </c>
    </row>
    <row r="4" spans="2:11">
      <c r="B4" s="122" t="s">
        <v>209</v>
      </c>
    </row>
    <row r="5" spans="2:11" ht="13.5" thickBot="1"/>
    <row r="6" spans="2:11">
      <c r="B6" s="74"/>
      <c r="C6" s="75"/>
      <c r="D6" s="74"/>
      <c r="E6" s="76"/>
      <c r="F6" s="76"/>
      <c r="G6" s="76"/>
      <c r="H6" s="76"/>
      <c r="I6" s="75"/>
      <c r="J6" s="75"/>
      <c r="K6" s="77"/>
    </row>
    <row r="7" spans="2:11">
      <c r="B7" s="78"/>
      <c r="C7" s="79"/>
      <c r="D7" s="78"/>
      <c r="I7" s="79"/>
      <c r="J7" s="79"/>
      <c r="K7" s="80"/>
    </row>
    <row r="8" spans="2:11">
      <c r="B8" s="78"/>
      <c r="C8" s="79"/>
      <c r="D8" s="78"/>
      <c r="I8" s="79"/>
      <c r="J8" s="79"/>
      <c r="K8" s="80"/>
    </row>
    <row r="9" spans="2:11">
      <c r="B9" s="78"/>
      <c r="C9" s="79"/>
      <c r="D9" s="78"/>
      <c r="I9" s="79"/>
      <c r="J9" s="79"/>
      <c r="K9" s="80"/>
    </row>
    <row r="10" spans="2:11">
      <c r="B10" s="78" t="s">
        <v>82</v>
      </c>
      <c r="C10" s="79"/>
      <c r="D10" s="78"/>
      <c r="I10" s="79" t="s">
        <v>83</v>
      </c>
      <c r="J10" s="79"/>
      <c r="K10" s="80"/>
    </row>
    <row r="11" spans="2:11">
      <c r="B11" s="78">
        <v>160</v>
      </c>
      <c r="C11" s="79"/>
      <c r="D11" s="78"/>
      <c r="I11" s="79">
        <v>160</v>
      </c>
      <c r="J11" s="79"/>
      <c r="K11" s="80"/>
    </row>
    <row r="12" spans="2:11">
      <c r="B12" s="78"/>
      <c r="C12" s="79"/>
      <c r="D12" s="78"/>
      <c r="I12" s="79"/>
      <c r="J12" s="79"/>
      <c r="K12" s="80"/>
    </row>
    <row r="13" spans="2:11">
      <c r="B13" s="78"/>
      <c r="C13" s="79"/>
      <c r="D13" s="78"/>
      <c r="I13" s="79"/>
      <c r="J13" s="79"/>
      <c r="K13" s="80"/>
    </row>
    <row r="14" spans="2:11" ht="13.5" thickBot="1">
      <c r="B14" s="78"/>
      <c r="C14" s="79"/>
      <c r="D14" s="97"/>
      <c r="E14" s="81"/>
      <c r="F14" s="81"/>
      <c r="G14" s="81"/>
      <c r="H14" s="81"/>
      <c r="I14" s="82"/>
      <c r="J14" s="79" t="s">
        <v>84</v>
      </c>
      <c r="K14" s="80"/>
    </row>
    <row r="15" spans="2:11" ht="13.5" thickTop="1">
      <c r="B15" s="83"/>
      <c r="C15" s="84"/>
      <c r="D15" s="78"/>
      <c r="F15" s="79"/>
      <c r="G15" s="89"/>
      <c r="I15" s="77"/>
      <c r="J15" s="79">
        <v>270</v>
      </c>
      <c r="K15" s="80"/>
    </row>
    <row r="16" spans="2:11">
      <c r="B16" s="88" t="s">
        <v>85</v>
      </c>
      <c r="C16" s="79"/>
      <c r="D16" s="78"/>
      <c r="F16" s="79"/>
      <c r="G16" s="89"/>
      <c r="I16" s="80"/>
      <c r="J16" s="79"/>
      <c r="K16" s="80"/>
    </row>
    <row r="17" spans="2:11" ht="13.5" thickBot="1">
      <c r="B17" s="90">
        <v>35</v>
      </c>
      <c r="C17" s="82"/>
      <c r="D17" s="78"/>
      <c r="F17" s="79" t="s">
        <v>86</v>
      </c>
      <c r="G17" s="89"/>
      <c r="H17" s="72" t="s">
        <v>87</v>
      </c>
      <c r="I17" s="80"/>
      <c r="J17" s="79"/>
      <c r="K17" s="80"/>
    </row>
    <row r="18" spans="2:11">
      <c r="B18" s="91" t="s">
        <v>88</v>
      </c>
      <c r="C18" s="74"/>
      <c r="D18" s="92"/>
      <c r="E18" s="93"/>
      <c r="F18" s="79">
        <v>85</v>
      </c>
      <c r="G18" s="89"/>
      <c r="H18" s="72">
        <v>110</v>
      </c>
      <c r="I18" s="80"/>
      <c r="J18" s="79"/>
      <c r="K18" s="80"/>
    </row>
    <row r="19" spans="2:11" ht="13.5" thickBot="1">
      <c r="B19" s="94">
        <v>20</v>
      </c>
      <c r="C19" s="78" t="s">
        <v>89</v>
      </c>
      <c r="D19" s="95" t="s">
        <v>90</v>
      </c>
      <c r="E19" s="96"/>
      <c r="F19" s="79"/>
      <c r="G19" s="89"/>
      <c r="I19" s="80"/>
      <c r="J19" s="79"/>
      <c r="K19" s="80"/>
    </row>
    <row r="20" spans="2:11">
      <c r="B20" s="91" t="s">
        <v>91</v>
      </c>
      <c r="C20" s="78">
        <v>50</v>
      </c>
      <c r="D20" s="95">
        <v>45</v>
      </c>
      <c r="E20" s="96"/>
      <c r="F20" s="79"/>
      <c r="G20" s="89"/>
      <c r="I20" s="80"/>
      <c r="J20" s="79"/>
      <c r="K20" s="80"/>
    </row>
    <row r="21" spans="2:11" ht="13.5" thickBot="1">
      <c r="B21" s="94">
        <v>30</v>
      </c>
      <c r="C21" s="97"/>
      <c r="D21" s="98" t="s">
        <v>210</v>
      </c>
      <c r="E21" s="96"/>
      <c r="F21" s="82"/>
      <c r="G21" s="89"/>
      <c r="H21" s="81"/>
      <c r="I21" s="80"/>
      <c r="J21" s="82"/>
      <c r="K21" s="80" t="s">
        <v>94</v>
      </c>
    </row>
    <row r="22" spans="2:11">
      <c r="B22" s="99"/>
      <c r="C22" s="76"/>
      <c r="D22" s="100"/>
      <c r="E22" s="96" t="s">
        <v>95</v>
      </c>
      <c r="F22" s="75"/>
      <c r="G22" s="89" t="s">
        <v>96</v>
      </c>
      <c r="H22" s="76"/>
      <c r="I22" s="80" t="s">
        <v>97</v>
      </c>
      <c r="J22" s="75"/>
      <c r="K22" s="80">
        <v>390</v>
      </c>
    </row>
    <row r="23" spans="2:11">
      <c r="B23" s="88"/>
      <c r="D23" s="95"/>
      <c r="E23" s="96">
        <v>155</v>
      </c>
      <c r="F23" s="79"/>
      <c r="G23" s="89">
        <v>250</v>
      </c>
      <c r="I23" s="80">
        <v>205</v>
      </c>
      <c r="J23" s="79"/>
      <c r="K23" s="80"/>
    </row>
    <row r="24" spans="2:11">
      <c r="B24" s="88"/>
      <c r="D24" s="95"/>
      <c r="E24" s="96" t="s">
        <v>211</v>
      </c>
      <c r="F24" s="79"/>
      <c r="G24" s="89"/>
      <c r="I24" s="80"/>
      <c r="J24" s="79"/>
      <c r="K24" s="80"/>
    </row>
    <row r="25" spans="2:11">
      <c r="B25" s="88"/>
      <c r="D25" s="95"/>
      <c r="E25" s="96"/>
      <c r="F25" s="79"/>
      <c r="G25" s="89"/>
      <c r="I25" s="80"/>
      <c r="J25" s="79"/>
      <c r="K25" s="80"/>
    </row>
    <row r="26" spans="2:11">
      <c r="B26" s="88"/>
      <c r="C26" s="72" t="s">
        <v>99</v>
      </c>
      <c r="D26" s="95" t="s">
        <v>100</v>
      </c>
      <c r="E26" s="96"/>
      <c r="F26" s="79"/>
      <c r="G26" s="89"/>
      <c r="I26" s="80"/>
      <c r="J26" s="79"/>
      <c r="K26" s="80"/>
    </row>
    <row r="27" spans="2:11" ht="13.5" thickBot="1">
      <c r="B27" s="88"/>
      <c r="C27" s="72">
        <v>135</v>
      </c>
      <c r="D27" s="95">
        <v>110</v>
      </c>
      <c r="E27" s="96"/>
      <c r="F27" s="79"/>
      <c r="G27" s="89"/>
      <c r="H27" s="72" t="s">
        <v>101</v>
      </c>
      <c r="I27" s="80"/>
      <c r="J27" s="79"/>
      <c r="K27" s="80"/>
    </row>
    <row r="28" spans="2:11">
      <c r="B28" s="91"/>
      <c r="D28" s="95" t="s">
        <v>212</v>
      </c>
      <c r="E28" s="96"/>
      <c r="F28" s="79"/>
      <c r="G28" s="89"/>
      <c r="H28" s="72">
        <v>95</v>
      </c>
      <c r="I28" s="80"/>
      <c r="J28" s="79"/>
      <c r="K28" s="80"/>
    </row>
    <row r="29" spans="2:11">
      <c r="B29" s="101" t="s">
        <v>103</v>
      </c>
      <c r="D29" s="95"/>
      <c r="E29" s="96"/>
      <c r="F29" s="79"/>
      <c r="G29" s="89"/>
      <c r="I29" s="80"/>
      <c r="J29" s="79" t="s">
        <v>104</v>
      </c>
      <c r="K29" s="80"/>
    </row>
    <row r="30" spans="2:11" ht="13.5" thickBot="1">
      <c r="B30" s="94">
        <v>30</v>
      </c>
      <c r="D30" s="95"/>
      <c r="E30" s="96"/>
      <c r="F30" s="79"/>
      <c r="G30" s="89"/>
      <c r="I30" s="80"/>
      <c r="J30" s="79">
        <v>120</v>
      </c>
      <c r="K30" s="80"/>
    </row>
    <row r="31" spans="2:11" ht="13.5" thickBot="1">
      <c r="B31" s="102" t="s">
        <v>213</v>
      </c>
      <c r="C31" s="81"/>
      <c r="D31" s="103"/>
      <c r="E31" s="104"/>
      <c r="F31" s="79" t="s">
        <v>106</v>
      </c>
      <c r="G31" s="89"/>
      <c r="I31" s="80"/>
      <c r="J31" s="79"/>
      <c r="K31" s="80"/>
    </row>
    <row r="32" spans="2:11">
      <c r="B32" s="99"/>
      <c r="C32" s="75"/>
      <c r="D32" s="78"/>
      <c r="F32" s="79">
        <v>165</v>
      </c>
      <c r="G32" s="89"/>
      <c r="I32" s="80"/>
      <c r="J32" s="79"/>
      <c r="K32" s="80"/>
    </row>
    <row r="33" spans="2:11">
      <c r="B33" s="88" t="s">
        <v>107</v>
      </c>
      <c r="C33" s="79"/>
      <c r="D33" s="78"/>
      <c r="F33" s="79"/>
      <c r="G33" s="89"/>
      <c r="I33" s="80"/>
      <c r="J33" s="79"/>
      <c r="K33" s="80"/>
    </row>
    <row r="34" spans="2:11" ht="13.5" thickBot="1">
      <c r="B34" s="105">
        <v>30</v>
      </c>
      <c r="C34" s="106"/>
      <c r="D34" s="78"/>
      <c r="F34" s="79"/>
      <c r="G34" s="89"/>
      <c r="I34" s="110"/>
      <c r="J34" s="79"/>
      <c r="K34" s="80"/>
    </row>
    <row r="35" spans="2:11" ht="13.5" thickTop="1">
      <c r="B35" s="78"/>
      <c r="C35" s="79"/>
      <c r="D35" s="74"/>
      <c r="E35" s="76"/>
      <c r="F35" s="76"/>
      <c r="G35" s="76"/>
      <c r="H35" s="76"/>
      <c r="I35" s="75"/>
      <c r="J35" s="79"/>
      <c r="K35" s="80"/>
    </row>
    <row r="36" spans="2:11">
      <c r="B36" s="78" t="s">
        <v>108</v>
      </c>
      <c r="C36" s="79"/>
      <c r="D36" s="78"/>
      <c r="I36" s="79" t="s">
        <v>109</v>
      </c>
      <c r="J36" s="79"/>
      <c r="K36" s="80"/>
    </row>
    <row r="37" spans="2:11" ht="13.5" thickBot="1">
      <c r="B37" s="97">
        <v>25</v>
      </c>
      <c r="C37" s="82"/>
      <c r="D37" s="97"/>
      <c r="E37" s="81"/>
      <c r="F37" s="81"/>
      <c r="G37" s="81"/>
      <c r="H37" s="81"/>
      <c r="I37" s="82">
        <v>25</v>
      </c>
      <c r="J37" s="82"/>
      <c r="K37" s="110"/>
    </row>
    <row r="40" spans="2:11">
      <c r="B40" s="72" t="s">
        <v>110</v>
      </c>
    </row>
    <row r="41" spans="2:11" ht="13.5" thickBot="1"/>
    <row r="42" spans="2:11" ht="14.25" thickTop="1" thickBot="1">
      <c r="B42" s="111"/>
      <c r="C42" s="112" t="s">
        <v>214</v>
      </c>
    </row>
    <row r="43" spans="2:11" ht="14.25" thickTop="1" thickBot="1"/>
    <row r="44" spans="2:11" ht="13.5" thickBot="1">
      <c r="B44" s="113"/>
      <c r="C44" s="112" t="s">
        <v>215</v>
      </c>
    </row>
  </sheetData>
  <phoneticPr fontId="0" type="noConversion"/>
  <pageMargins left="0.78740157499999996" right="0.78740157499999996" top="0.984251969" bottom="0.984251969" header="0.4921259845" footer="0.4921259845"/>
  <pageSetup orientation="portrait" r:id="rId1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2"/>
  <sheetViews>
    <sheetView topLeftCell="A7" zoomScale="70" zoomScaleNormal="70" workbookViewId="0">
      <selection activeCell="A7" sqref="A7:A32"/>
    </sheetView>
  </sheetViews>
  <sheetFormatPr baseColWidth="10" defaultRowHeight="12.75"/>
  <cols>
    <col min="2" max="2" width="14.5703125" bestFit="1" customWidth="1"/>
    <col min="3" max="3" width="41.85546875" bestFit="1" customWidth="1"/>
    <col min="4" max="4" width="47.42578125" style="3" bestFit="1" customWidth="1"/>
    <col min="5" max="5" width="17.140625" style="3" customWidth="1"/>
    <col min="6" max="6" width="6" style="3" bestFit="1" customWidth="1"/>
    <col min="7" max="7" width="10.28515625" style="3" bestFit="1" customWidth="1"/>
    <col min="8" max="8" width="9.7109375" style="115" bestFit="1" customWidth="1"/>
    <col min="9" max="9" width="28.7109375" bestFit="1" customWidth="1"/>
  </cols>
  <sheetData>
    <row r="1" spans="1:9" ht="15.75">
      <c r="A1" s="73" t="s">
        <v>241</v>
      </c>
    </row>
    <row r="2" spans="1:9" ht="15.75">
      <c r="A2" s="73" t="s">
        <v>80</v>
      </c>
    </row>
    <row r="3" spans="1:9">
      <c r="A3" s="72" t="s">
        <v>81</v>
      </c>
    </row>
    <row r="5" spans="1:9" ht="15.75">
      <c r="A5" s="116" t="s">
        <v>114</v>
      </c>
      <c r="E5" s="248" t="s">
        <v>115</v>
      </c>
      <c r="F5" s="248"/>
    </row>
    <row r="6" spans="1:9" s="118" customFormat="1" ht="25.5">
      <c r="A6" s="125" t="s">
        <v>477</v>
      </c>
      <c r="B6" s="118" t="s">
        <v>431</v>
      </c>
      <c r="C6" s="118" t="s">
        <v>116</v>
      </c>
      <c r="D6" s="118" t="s">
        <v>117</v>
      </c>
      <c r="E6" s="117" t="s">
        <v>118</v>
      </c>
      <c r="F6" s="117" t="s">
        <v>119</v>
      </c>
      <c r="G6" s="117" t="s">
        <v>120</v>
      </c>
      <c r="H6" s="117" t="s">
        <v>121</v>
      </c>
      <c r="I6" s="119" t="s">
        <v>122</v>
      </c>
    </row>
    <row r="7" spans="1:9" s="118" customFormat="1" ht="15.75">
      <c r="A7" s="120" t="s">
        <v>123</v>
      </c>
      <c r="B7" s="120" t="s">
        <v>443</v>
      </c>
      <c r="C7" t="s">
        <v>124</v>
      </c>
      <c r="D7" t="s">
        <v>125</v>
      </c>
      <c r="E7" s="3" t="s">
        <v>126</v>
      </c>
      <c r="F7" s="3"/>
      <c r="G7" s="3" t="s">
        <v>127</v>
      </c>
      <c r="H7" s="3" t="s">
        <v>128</v>
      </c>
      <c r="I7" s="119"/>
    </row>
    <row r="8" spans="1:9" ht="15.75">
      <c r="A8" t="s">
        <v>467</v>
      </c>
      <c r="B8" t="s">
        <v>444</v>
      </c>
      <c r="C8" t="s">
        <v>129</v>
      </c>
      <c r="D8" t="s">
        <v>130</v>
      </c>
      <c r="E8" s="3" t="s">
        <v>478</v>
      </c>
      <c r="G8" s="3" t="s">
        <v>127</v>
      </c>
      <c r="H8" s="3" t="s">
        <v>128</v>
      </c>
      <c r="I8" s="115"/>
    </row>
    <row r="9" spans="1:9" ht="15.75">
      <c r="A9" t="s">
        <v>96</v>
      </c>
      <c r="B9" t="s">
        <v>445</v>
      </c>
      <c r="C9" t="s">
        <v>132</v>
      </c>
      <c r="D9" t="s">
        <v>133</v>
      </c>
      <c r="E9" s="3" t="s">
        <v>134</v>
      </c>
      <c r="G9" s="3" t="s">
        <v>127</v>
      </c>
      <c r="H9" s="3" t="s">
        <v>135</v>
      </c>
      <c r="I9" s="115"/>
    </row>
    <row r="10" spans="1:9" ht="15.75">
      <c r="A10" t="s">
        <v>83</v>
      </c>
      <c r="B10" t="s">
        <v>446</v>
      </c>
      <c r="C10" t="s">
        <v>434</v>
      </c>
      <c r="D10" t="s">
        <v>432</v>
      </c>
      <c r="E10" s="3" t="s">
        <v>137</v>
      </c>
      <c r="F10" s="3" t="s">
        <v>127</v>
      </c>
      <c r="H10" s="3" t="s">
        <v>138</v>
      </c>
      <c r="I10" s="115" t="s">
        <v>139</v>
      </c>
    </row>
    <row r="11" spans="1:9" ht="15.75">
      <c r="A11" t="s">
        <v>430</v>
      </c>
      <c r="B11" t="s">
        <v>447</v>
      </c>
      <c r="C11" t="s">
        <v>433</v>
      </c>
      <c r="D11" t="s">
        <v>479</v>
      </c>
      <c r="E11" s="3" t="s">
        <v>6</v>
      </c>
      <c r="F11" s="3" t="s">
        <v>127</v>
      </c>
      <c r="H11" s="3" t="s">
        <v>138</v>
      </c>
      <c r="I11" s="115" t="s">
        <v>142</v>
      </c>
    </row>
    <row r="12" spans="1:9" ht="15.75">
      <c r="A12" t="s">
        <v>468</v>
      </c>
      <c r="B12" t="s">
        <v>448</v>
      </c>
      <c r="C12" t="s">
        <v>143</v>
      </c>
      <c r="D12" t="s">
        <v>144</v>
      </c>
      <c r="E12" s="3" t="s">
        <v>480</v>
      </c>
      <c r="F12" s="3" t="s">
        <v>127</v>
      </c>
      <c r="H12" s="3" t="s">
        <v>135</v>
      </c>
      <c r="I12" s="115" t="s">
        <v>145</v>
      </c>
    </row>
    <row r="13" spans="1:9" ht="15.75">
      <c r="A13" t="s">
        <v>449</v>
      </c>
      <c r="B13" t="s">
        <v>449</v>
      </c>
      <c r="C13" t="s">
        <v>147</v>
      </c>
      <c r="D13" t="s">
        <v>148</v>
      </c>
      <c r="E13" s="3" t="s">
        <v>481</v>
      </c>
      <c r="G13" s="3" t="s">
        <v>127</v>
      </c>
      <c r="H13" s="3" t="s">
        <v>128</v>
      </c>
      <c r="I13" s="115"/>
    </row>
    <row r="14" spans="1:9" ht="15.75">
      <c r="A14" t="s">
        <v>450</v>
      </c>
      <c r="B14" t="s">
        <v>450</v>
      </c>
      <c r="C14" t="s">
        <v>150</v>
      </c>
      <c r="D14" t="s">
        <v>151</v>
      </c>
      <c r="E14" s="3" t="s">
        <v>482</v>
      </c>
      <c r="G14" s="3" t="s">
        <v>127</v>
      </c>
      <c r="H14" s="3" t="s">
        <v>128</v>
      </c>
      <c r="I14" s="115"/>
    </row>
    <row r="15" spans="1:9" ht="15.75">
      <c r="A15" t="s">
        <v>451</v>
      </c>
      <c r="B15" t="s">
        <v>451</v>
      </c>
      <c r="C15" t="s">
        <v>153</v>
      </c>
      <c r="D15" t="s">
        <v>154</v>
      </c>
      <c r="E15" s="3" t="s">
        <v>483</v>
      </c>
      <c r="G15" s="3" t="s">
        <v>127</v>
      </c>
      <c r="H15" s="3" t="s">
        <v>135</v>
      </c>
      <c r="I15" s="115"/>
    </row>
    <row r="16" spans="1:9" ht="15.75">
      <c r="A16" t="s">
        <v>452</v>
      </c>
      <c r="B16" t="s">
        <v>452</v>
      </c>
      <c r="C16" t="s">
        <v>156</v>
      </c>
      <c r="D16" t="s">
        <v>157</v>
      </c>
      <c r="E16" s="3" t="s">
        <v>452</v>
      </c>
      <c r="F16" s="3" t="s">
        <v>127</v>
      </c>
      <c r="H16" s="3" t="s">
        <v>135</v>
      </c>
      <c r="I16" s="115" t="s">
        <v>158</v>
      </c>
    </row>
    <row r="17" spans="1:9" ht="15.75">
      <c r="A17" t="s">
        <v>469</v>
      </c>
      <c r="B17" t="s">
        <v>446</v>
      </c>
      <c r="C17" t="s">
        <v>435</v>
      </c>
      <c r="D17" t="s">
        <v>436</v>
      </c>
      <c r="E17" s="3" t="s">
        <v>446</v>
      </c>
      <c r="F17" s="3" t="s">
        <v>127</v>
      </c>
      <c r="H17" s="3" t="s">
        <v>138</v>
      </c>
      <c r="I17" s="115" t="s">
        <v>139</v>
      </c>
    </row>
    <row r="18" spans="1:9" ht="15.75">
      <c r="A18" t="s">
        <v>470</v>
      </c>
      <c r="B18" t="s">
        <v>453</v>
      </c>
      <c r="C18" t="s">
        <v>160</v>
      </c>
      <c r="D18" t="s">
        <v>161</v>
      </c>
      <c r="E18" s="3" t="s">
        <v>453</v>
      </c>
      <c r="F18" s="3" t="s">
        <v>162</v>
      </c>
      <c r="G18" s="3" t="s">
        <v>127</v>
      </c>
      <c r="H18" s="3" t="s">
        <v>135</v>
      </c>
      <c r="I18" s="115" t="s">
        <v>163</v>
      </c>
    </row>
    <row r="19" spans="1:9" ht="15.75">
      <c r="A19" t="s">
        <v>84</v>
      </c>
      <c r="B19" t="s">
        <v>454</v>
      </c>
      <c r="C19" t="s">
        <v>164</v>
      </c>
      <c r="D19" t="s">
        <v>386</v>
      </c>
      <c r="E19" s="3" t="s">
        <v>387</v>
      </c>
      <c r="G19" s="3" t="s">
        <v>127</v>
      </c>
      <c r="H19" s="3" t="s">
        <v>138</v>
      </c>
      <c r="I19" s="115"/>
    </row>
    <row r="20" spans="1:9" ht="15.75">
      <c r="A20" t="s">
        <v>437</v>
      </c>
      <c r="B20" t="s">
        <v>455</v>
      </c>
      <c r="C20" t="s">
        <v>382</v>
      </c>
      <c r="D20" t="s">
        <v>383</v>
      </c>
      <c r="E20" s="3" t="s">
        <v>18</v>
      </c>
      <c r="G20" s="3" t="s">
        <v>127</v>
      </c>
      <c r="H20" s="3" t="s">
        <v>138</v>
      </c>
      <c r="I20" s="115"/>
    </row>
    <row r="21" spans="1:9" ht="15.75">
      <c r="A21" t="s">
        <v>104</v>
      </c>
      <c r="B21" t="s">
        <v>456</v>
      </c>
      <c r="C21" t="s">
        <v>167</v>
      </c>
      <c r="D21" t="s">
        <v>168</v>
      </c>
      <c r="E21" s="3" t="s">
        <v>169</v>
      </c>
      <c r="G21" s="3" t="s">
        <v>127</v>
      </c>
      <c r="H21" s="3" t="s">
        <v>138</v>
      </c>
      <c r="I21" s="115"/>
    </row>
    <row r="22" spans="1:9" ht="15.75">
      <c r="A22" t="s">
        <v>87</v>
      </c>
      <c r="B22" t="s">
        <v>457</v>
      </c>
      <c r="C22" t="s">
        <v>170</v>
      </c>
      <c r="D22" t="s">
        <v>389</v>
      </c>
      <c r="E22" s="3" t="s">
        <v>388</v>
      </c>
      <c r="G22" s="3" t="s">
        <v>127</v>
      </c>
      <c r="H22" s="3" t="s">
        <v>138</v>
      </c>
      <c r="I22" s="115"/>
    </row>
    <row r="23" spans="1:9" ht="15.75">
      <c r="A23" t="s">
        <v>173</v>
      </c>
      <c r="B23" t="s">
        <v>458</v>
      </c>
      <c r="C23" t="s">
        <v>174</v>
      </c>
      <c r="D23" t="s">
        <v>175</v>
      </c>
      <c r="E23" s="3" t="s">
        <v>17</v>
      </c>
      <c r="G23" s="3" t="s">
        <v>127</v>
      </c>
      <c r="H23" s="3" t="s">
        <v>138</v>
      </c>
      <c r="I23" s="115"/>
    </row>
    <row r="24" spans="1:9" ht="15.75">
      <c r="A24" t="s">
        <v>101</v>
      </c>
      <c r="B24" t="s">
        <v>459</v>
      </c>
      <c r="C24" t="s">
        <v>176</v>
      </c>
      <c r="D24" t="s">
        <v>177</v>
      </c>
      <c r="E24" s="3" t="s">
        <v>5</v>
      </c>
      <c r="G24" s="3" t="s">
        <v>127</v>
      </c>
      <c r="H24" s="3" t="s">
        <v>138</v>
      </c>
      <c r="I24" s="115"/>
    </row>
    <row r="25" spans="1:9" ht="15.75">
      <c r="A25" t="s">
        <v>471</v>
      </c>
      <c r="B25" t="s">
        <v>460</v>
      </c>
      <c r="C25" t="s">
        <v>439</v>
      </c>
      <c r="D25" t="s">
        <v>438</v>
      </c>
      <c r="E25" s="3" t="s">
        <v>484</v>
      </c>
      <c r="F25" s="3" t="s">
        <v>127</v>
      </c>
      <c r="H25" s="3" t="s">
        <v>135</v>
      </c>
      <c r="I25" s="121" t="s">
        <v>179</v>
      </c>
    </row>
    <row r="26" spans="1:9" ht="15.75">
      <c r="A26" t="s">
        <v>472</v>
      </c>
      <c r="B26" t="s">
        <v>461</v>
      </c>
      <c r="C26" t="s">
        <v>181</v>
      </c>
      <c r="D26" t="s">
        <v>182</v>
      </c>
      <c r="E26" s="3" t="s">
        <v>485</v>
      </c>
      <c r="G26" s="3" t="s">
        <v>127</v>
      </c>
      <c r="H26" s="3" t="s">
        <v>128</v>
      </c>
      <c r="I26" s="115"/>
    </row>
    <row r="27" spans="1:9" ht="15.75">
      <c r="A27" t="s">
        <v>462</v>
      </c>
      <c r="B27" t="s">
        <v>462</v>
      </c>
      <c r="C27" t="s">
        <v>326</v>
      </c>
      <c r="D27" t="s">
        <v>184</v>
      </c>
      <c r="E27" s="3" t="s">
        <v>486</v>
      </c>
      <c r="G27" s="3" t="s">
        <v>127</v>
      </c>
      <c r="H27" s="3" t="s">
        <v>128</v>
      </c>
      <c r="I27" s="115"/>
    </row>
    <row r="28" spans="1:9" ht="15.75">
      <c r="A28" t="s">
        <v>463</v>
      </c>
      <c r="B28" t="s">
        <v>463</v>
      </c>
      <c r="C28" t="s">
        <v>186</v>
      </c>
      <c r="D28" t="s">
        <v>187</v>
      </c>
      <c r="E28" s="3" t="s">
        <v>487</v>
      </c>
      <c r="G28" s="3" t="s">
        <v>127</v>
      </c>
      <c r="H28" s="3" t="s">
        <v>135</v>
      </c>
      <c r="I28" s="115"/>
    </row>
    <row r="29" spans="1:9" ht="15.75">
      <c r="A29" t="s">
        <v>473</v>
      </c>
      <c r="B29" t="s">
        <v>464</v>
      </c>
      <c r="C29" t="s">
        <v>440</v>
      </c>
      <c r="D29" t="s">
        <v>441</v>
      </c>
      <c r="E29" s="3" t="s">
        <v>473</v>
      </c>
      <c r="F29" s="3" t="s">
        <v>127</v>
      </c>
      <c r="H29" s="3" t="s">
        <v>135</v>
      </c>
      <c r="I29" s="115" t="s">
        <v>190</v>
      </c>
    </row>
    <row r="30" spans="1:9" ht="15.75">
      <c r="A30" t="s">
        <v>474</v>
      </c>
      <c r="B30" t="s">
        <v>465</v>
      </c>
      <c r="C30" t="s">
        <v>191</v>
      </c>
      <c r="D30" t="s">
        <v>192</v>
      </c>
      <c r="E30" s="3" t="s">
        <v>465</v>
      </c>
      <c r="F30" s="3" t="s">
        <v>127</v>
      </c>
      <c r="H30" s="3" t="s">
        <v>135</v>
      </c>
      <c r="I30" s="115" t="s">
        <v>193</v>
      </c>
    </row>
    <row r="31" spans="1:9" ht="15.75">
      <c r="A31" t="s">
        <v>475</v>
      </c>
      <c r="B31" t="s">
        <v>447</v>
      </c>
      <c r="C31" t="s">
        <v>442</v>
      </c>
      <c r="D31" t="s">
        <v>194</v>
      </c>
      <c r="E31" s="3" t="s">
        <v>447</v>
      </c>
      <c r="F31" s="3" t="s">
        <v>127</v>
      </c>
      <c r="H31" s="3" t="s">
        <v>135</v>
      </c>
      <c r="I31" s="115" t="s">
        <v>142</v>
      </c>
    </row>
    <row r="32" spans="1:9" ht="15.75">
      <c r="A32" t="s">
        <v>476</v>
      </c>
      <c r="B32" t="s">
        <v>466</v>
      </c>
      <c r="C32" t="s">
        <v>195</v>
      </c>
      <c r="D32" t="s">
        <v>196</v>
      </c>
      <c r="E32" s="3" t="s">
        <v>488</v>
      </c>
      <c r="F32" s="3" t="s">
        <v>162</v>
      </c>
      <c r="G32" s="3" t="s">
        <v>127</v>
      </c>
      <c r="H32" s="3" t="s">
        <v>135</v>
      </c>
      <c r="I32" s="115" t="s">
        <v>197</v>
      </c>
    </row>
    <row r="33" spans="1:9">
      <c r="D33"/>
      <c r="H33" s="3"/>
      <c r="I33" s="115"/>
    </row>
    <row r="34" spans="1:9">
      <c r="A34" s="118" t="s">
        <v>198</v>
      </c>
      <c r="D34"/>
      <c r="H34" s="3"/>
      <c r="I34" s="115"/>
    </row>
    <row r="35" spans="1:9">
      <c r="A35" t="s">
        <v>199</v>
      </c>
      <c r="C35" t="s">
        <v>200</v>
      </c>
      <c r="D35" t="s">
        <v>200</v>
      </c>
      <c r="E35" s="118" t="s">
        <v>204</v>
      </c>
      <c r="H35" s="3"/>
      <c r="I35" s="115"/>
    </row>
    <row r="36" spans="1:9">
      <c r="A36" t="s">
        <v>201</v>
      </c>
      <c r="C36" t="s">
        <v>202</v>
      </c>
      <c r="D36" t="s">
        <v>203</v>
      </c>
      <c r="E36" t="s">
        <v>205</v>
      </c>
      <c r="H36" s="3"/>
      <c r="I36" s="115"/>
    </row>
    <row r="37" spans="1:9">
      <c r="D37"/>
      <c r="E37" t="s">
        <v>206</v>
      </c>
      <c r="F37" s="117"/>
      <c r="G37" s="117"/>
      <c r="H37" s="3"/>
      <c r="I37" s="115"/>
    </row>
    <row r="38" spans="1:9">
      <c r="A38" t="s">
        <v>384</v>
      </c>
      <c r="C38" t="s">
        <v>392</v>
      </c>
      <c r="D38" t="s">
        <v>385</v>
      </c>
      <c r="E38" t="s">
        <v>207</v>
      </c>
      <c r="H38" s="3"/>
      <c r="I38" s="115"/>
    </row>
    <row r="39" spans="1:9">
      <c r="A39" t="s">
        <v>390</v>
      </c>
      <c r="C39" t="s">
        <v>393</v>
      </c>
      <c r="D39" t="s">
        <v>391</v>
      </c>
      <c r="E39" t="s">
        <v>208</v>
      </c>
      <c r="H39" s="3"/>
      <c r="I39" s="115"/>
    </row>
    <row r="40" spans="1:9">
      <c r="D40"/>
      <c r="H40" s="3"/>
      <c r="I40" s="115"/>
    </row>
    <row r="41" spans="1:9">
      <c r="A41" t="s">
        <v>394</v>
      </c>
      <c r="C41" t="s">
        <v>396</v>
      </c>
      <c r="D41" t="s">
        <v>396</v>
      </c>
      <c r="H41" s="3"/>
      <c r="I41" s="115"/>
    </row>
    <row r="42" spans="1:9">
      <c r="A42" t="s">
        <v>395</v>
      </c>
      <c r="C42" t="s">
        <v>397</v>
      </c>
      <c r="D42" t="s">
        <v>398</v>
      </c>
      <c r="H42" s="3"/>
      <c r="I42" s="115"/>
    </row>
  </sheetData>
  <mergeCells count="1">
    <mergeCell ref="E5:F5"/>
  </mergeCells>
  <phoneticPr fontId="0" type="noConversion"/>
  <printOptions gridLines="1" gridLinesSet="0"/>
  <pageMargins left="0.78740157499999996" right="0.78740157499999996" top="0.984251969" bottom="0.984251969" header="0.4921259845" footer="0.4921259845"/>
  <pageSetup scale="68" orientation="landscape" r:id="rId1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91"/>
  <sheetViews>
    <sheetView topLeftCell="A5" workbookViewId="0">
      <pane ySplit="1035" activePane="bottomLeft"/>
      <selection activeCell="A5" sqref="A1:IV65536"/>
      <selection pane="bottomLeft" activeCell="B11" sqref="B11"/>
    </sheetView>
  </sheetViews>
  <sheetFormatPr baseColWidth="10" defaultRowHeight="12.75"/>
  <cols>
    <col min="1" max="1" width="5" style="115" customWidth="1"/>
    <col min="3" max="3" width="9" style="115" customWidth="1"/>
    <col min="4" max="4" width="11.85546875" style="115" customWidth="1"/>
    <col min="5" max="5" width="7.42578125" style="3" customWidth="1"/>
    <col min="6" max="6" width="10" style="3" customWidth="1"/>
    <col min="7" max="7" width="40.85546875" customWidth="1"/>
    <col min="8" max="8" width="38.140625" customWidth="1"/>
    <col min="9" max="9" width="9.7109375" bestFit="1" customWidth="1"/>
  </cols>
  <sheetData>
    <row r="1" spans="1:10">
      <c r="A1" s="1" t="s">
        <v>216</v>
      </c>
    </row>
    <row r="2" spans="1:10">
      <c r="B2" s="123">
        <f ca="1">TODAY()</f>
        <v>41528</v>
      </c>
    </row>
    <row r="3" spans="1:10">
      <c r="A3" s="123"/>
    </row>
    <row r="4" spans="1:10" ht="15.75">
      <c r="A4" s="116" t="s">
        <v>241</v>
      </c>
    </row>
    <row r="5" spans="1:10" s="126" customFormat="1" ht="38.25">
      <c r="A5" s="129" t="s">
        <v>298</v>
      </c>
      <c r="B5" s="124" t="s">
        <v>236</v>
      </c>
      <c r="C5" s="127" t="s">
        <v>237</v>
      </c>
      <c r="D5" s="127" t="s">
        <v>344</v>
      </c>
      <c r="E5" s="125" t="s">
        <v>342</v>
      </c>
      <c r="F5" s="125" t="s">
        <v>343</v>
      </c>
      <c r="G5" s="124" t="s">
        <v>116</v>
      </c>
      <c r="H5" s="124" t="s">
        <v>117</v>
      </c>
      <c r="I5" s="125" t="s">
        <v>121</v>
      </c>
      <c r="J5" s="128" t="s">
        <v>244</v>
      </c>
    </row>
    <row r="6" spans="1:10">
      <c r="A6" s="115">
        <v>1</v>
      </c>
      <c r="B6" s="120" t="s">
        <v>123</v>
      </c>
      <c r="C6" s="115" t="s">
        <v>126</v>
      </c>
      <c r="F6" s="3" t="s">
        <v>127</v>
      </c>
      <c r="G6" t="s">
        <v>301</v>
      </c>
      <c r="H6" t="s">
        <v>125</v>
      </c>
      <c r="I6" s="3" t="s">
        <v>128</v>
      </c>
      <c r="J6" s="3" t="s">
        <v>245</v>
      </c>
    </row>
    <row r="7" spans="1:10">
      <c r="A7" s="115">
        <v>2</v>
      </c>
      <c r="B7" t="s">
        <v>95</v>
      </c>
      <c r="C7" s="115" t="s">
        <v>131</v>
      </c>
      <c r="F7" s="3" t="s">
        <v>127</v>
      </c>
      <c r="G7" t="s">
        <v>302</v>
      </c>
      <c r="H7" t="s">
        <v>130</v>
      </c>
      <c r="I7" s="3" t="s">
        <v>128</v>
      </c>
      <c r="J7" s="3" t="s">
        <v>245</v>
      </c>
    </row>
    <row r="8" spans="1:10">
      <c r="A8" s="115">
        <v>3</v>
      </c>
      <c r="B8" t="s">
        <v>96</v>
      </c>
      <c r="C8" s="115" t="s">
        <v>134</v>
      </c>
      <c r="F8" s="3" t="s">
        <v>127</v>
      </c>
      <c r="G8" t="s">
        <v>303</v>
      </c>
      <c r="H8" t="s">
        <v>133</v>
      </c>
      <c r="I8" s="3" t="s">
        <v>300</v>
      </c>
      <c r="J8" s="3" t="s">
        <v>245</v>
      </c>
    </row>
    <row r="9" spans="1:10">
      <c r="A9" s="115">
        <v>4</v>
      </c>
      <c r="B9" t="s">
        <v>83</v>
      </c>
      <c r="C9" s="115" t="s">
        <v>137</v>
      </c>
      <c r="E9" s="3" t="s">
        <v>127</v>
      </c>
      <c r="G9" t="s">
        <v>304</v>
      </c>
      <c r="H9" t="s">
        <v>136</v>
      </c>
      <c r="I9" s="3" t="s">
        <v>138</v>
      </c>
      <c r="J9" s="3" t="s">
        <v>245</v>
      </c>
    </row>
    <row r="10" spans="1:10">
      <c r="A10" s="115">
        <v>5</v>
      </c>
      <c r="B10" t="s">
        <v>430</v>
      </c>
      <c r="C10" s="115" t="s">
        <v>141</v>
      </c>
      <c r="E10" s="3" t="s">
        <v>127</v>
      </c>
      <c r="G10" t="s">
        <v>305</v>
      </c>
      <c r="H10" t="s">
        <v>140</v>
      </c>
      <c r="I10" s="3" t="s">
        <v>138</v>
      </c>
      <c r="J10" s="3" t="s">
        <v>245</v>
      </c>
    </row>
    <row r="11" spans="1:10">
      <c r="A11" s="115">
        <v>6</v>
      </c>
      <c r="B11" t="s">
        <v>91</v>
      </c>
      <c r="C11" s="115" t="s">
        <v>91</v>
      </c>
      <c r="E11" s="3" t="s">
        <v>127</v>
      </c>
      <c r="G11" t="s">
        <v>290</v>
      </c>
      <c r="H11" t="s">
        <v>144</v>
      </c>
      <c r="I11" s="3" t="s">
        <v>300</v>
      </c>
      <c r="J11" s="3" t="s">
        <v>245</v>
      </c>
    </row>
    <row r="12" spans="1:10">
      <c r="A12" s="115">
        <v>7</v>
      </c>
      <c r="B12" t="s">
        <v>146</v>
      </c>
      <c r="C12" s="115" t="s">
        <v>149</v>
      </c>
      <c r="D12" s="115" t="s">
        <v>223</v>
      </c>
      <c r="F12" s="3" t="s">
        <v>127</v>
      </c>
      <c r="G12" t="s">
        <v>324</v>
      </c>
      <c r="H12" t="s">
        <v>219</v>
      </c>
      <c r="I12" s="3" t="s">
        <v>128</v>
      </c>
      <c r="J12" s="3" t="s">
        <v>245</v>
      </c>
    </row>
    <row r="13" spans="1:10">
      <c r="A13" s="115">
        <v>8</v>
      </c>
      <c r="B13" t="s">
        <v>90</v>
      </c>
      <c r="C13" s="115" t="s">
        <v>152</v>
      </c>
      <c r="F13" s="3" t="s">
        <v>127</v>
      </c>
      <c r="G13" t="s">
        <v>324</v>
      </c>
      <c r="H13" t="s">
        <v>220</v>
      </c>
      <c r="I13" s="3" t="s">
        <v>128</v>
      </c>
      <c r="J13" s="3" t="s">
        <v>245</v>
      </c>
    </row>
    <row r="14" spans="1:10">
      <c r="A14" s="115">
        <v>9</v>
      </c>
      <c r="B14" t="s">
        <v>86</v>
      </c>
      <c r="C14" s="115" t="s">
        <v>155</v>
      </c>
      <c r="D14" s="115" t="s">
        <v>225</v>
      </c>
      <c r="F14" s="3" t="s">
        <v>127</v>
      </c>
      <c r="G14" t="s">
        <v>325</v>
      </c>
      <c r="H14" t="s">
        <v>154</v>
      </c>
      <c r="I14" s="3" t="s">
        <v>300</v>
      </c>
      <c r="J14" s="3" t="s">
        <v>245</v>
      </c>
    </row>
    <row r="15" spans="1:10">
      <c r="A15" s="115">
        <v>10</v>
      </c>
      <c r="B15" t="s">
        <v>88</v>
      </c>
      <c r="C15" s="115" t="s">
        <v>88</v>
      </c>
      <c r="E15" s="3" t="s">
        <v>127</v>
      </c>
      <c r="G15" t="s">
        <v>306</v>
      </c>
      <c r="H15" t="s">
        <v>157</v>
      </c>
      <c r="I15" s="3" t="s">
        <v>300</v>
      </c>
      <c r="J15" s="3" t="s">
        <v>245</v>
      </c>
    </row>
    <row r="16" spans="1:10">
      <c r="A16" s="115">
        <v>11</v>
      </c>
      <c r="B16" t="s">
        <v>82</v>
      </c>
      <c r="C16" s="115" t="s">
        <v>82</v>
      </c>
      <c r="E16" s="3" t="s">
        <v>127</v>
      </c>
      <c r="G16" t="s">
        <v>307</v>
      </c>
      <c r="H16" t="s">
        <v>159</v>
      </c>
      <c r="I16" s="3" t="s">
        <v>138</v>
      </c>
      <c r="J16" s="3" t="s">
        <v>245</v>
      </c>
    </row>
    <row r="17" spans="1:10">
      <c r="A17" s="115">
        <v>12</v>
      </c>
      <c r="B17" t="s">
        <v>89</v>
      </c>
      <c r="C17" s="115" t="s">
        <v>89</v>
      </c>
      <c r="E17" s="3" t="s">
        <v>162</v>
      </c>
      <c r="F17" s="3" t="s">
        <v>162</v>
      </c>
      <c r="G17" t="s">
        <v>308</v>
      </c>
      <c r="H17" t="s">
        <v>161</v>
      </c>
      <c r="I17" s="3" t="s">
        <v>300</v>
      </c>
      <c r="J17" s="3" t="s">
        <v>245</v>
      </c>
    </row>
    <row r="18" spans="1:10">
      <c r="A18" s="115">
        <v>13</v>
      </c>
      <c r="B18" t="s">
        <v>84</v>
      </c>
      <c r="C18" s="115" t="s">
        <v>166</v>
      </c>
      <c r="F18" s="3" t="s">
        <v>127</v>
      </c>
      <c r="G18" t="s">
        <v>309</v>
      </c>
      <c r="H18" t="s">
        <v>165</v>
      </c>
      <c r="I18" s="3" t="s">
        <v>138</v>
      </c>
      <c r="J18" s="3" t="s">
        <v>245</v>
      </c>
    </row>
    <row r="19" spans="1:10">
      <c r="A19" s="115">
        <v>14</v>
      </c>
      <c r="B19" t="s">
        <v>104</v>
      </c>
      <c r="C19" s="115" t="s">
        <v>169</v>
      </c>
      <c r="F19" s="3" t="s">
        <v>127</v>
      </c>
      <c r="G19" t="s">
        <v>310</v>
      </c>
      <c r="H19" t="s">
        <v>168</v>
      </c>
      <c r="I19" s="3" t="s">
        <v>138</v>
      </c>
      <c r="J19" s="3" t="s">
        <v>245</v>
      </c>
    </row>
    <row r="20" spans="1:10">
      <c r="A20" s="115">
        <v>15</v>
      </c>
      <c r="B20" t="s">
        <v>87</v>
      </c>
      <c r="C20" s="115" t="s">
        <v>172</v>
      </c>
      <c r="F20" s="3" t="s">
        <v>127</v>
      </c>
      <c r="G20" t="s">
        <v>311</v>
      </c>
      <c r="H20" t="s">
        <v>171</v>
      </c>
      <c r="I20" s="3" t="s">
        <v>138</v>
      </c>
      <c r="J20" s="3" t="s">
        <v>245</v>
      </c>
    </row>
    <row r="21" spans="1:10">
      <c r="A21" s="115">
        <v>16</v>
      </c>
      <c r="B21" t="s">
        <v>173</v>
      </c>
      <c r="C21" s="115" t="s">
        <v>17</v>
      </c>
      <c r="F21" s="3" t="s">
        <v>127</v>
      </c>
      <c r="G21" t="s">
        <v>312</v>
      </c>
      <c r="H21" t="s">
        <v>175</v>
      </c>
      <c r="I21" s="3" t="s">
        <v>138</v>
      </c>
      <c r="J21" s="3" t="s">
        <v>245</v>
      </c>
    </row>
    <row r="22" spans="1:10">
      <c r="A22" s="115">
        <v>17</v>
      </c>
      <c r="B22" t="s">
        <v>101</v>
      </c>
      <c r="C22" s="115" t="s">
        <v>5</v>
      </c>
      <c r="F22" s="3" t="s">
        <v>127</v>
      </c>
      <c r="G22" t="s">
        <v>313</v>
      </c>
      <c r="H22" t="s">
        <v>177</v>
      </c>
      <c r="I22" s="3" t="s">
        <v>138</v>
      </c>
      <c r="J22" s="3" t="s">
        <v>245</v>
      </c>
    </row>
    <row r="23" spans="1:10">
      <c r="A23" s="115">
        <v>18</v>
      </c>
      <c r="B23" t="s">
        <v>105</v>
      </c>
      <c r="C23" s="115" t="s">
        <v>105</v>
      </c>
      <c r="E23" s="3" t="s">
        <v>127</v>
      </c>
      <c r="G23" t="s">
        <v>314</v>
      </c>
      <c r="H23" t="s">
        <v>178</v>
      </c>
      <c r="I23" s="3" t="s">
        <v>300</v>
      </c>
      <c r="J23" s="3" t="s">
        <v>245</v>
      </c>
    </row>
    <row r="24" spans="1:10">
      <c r="A24" s="115">
        <v>19</v>
      </c>
      <c r="B24" t="s">
        <v>180</v>
      </c>
      <c r="C24" s="115" t="s">
        <v>183</v>
      </c>
      <c r="D24" s="115" t="s">
        <v>224</v>
      </c>
      <c r="F24" s="3" t="s">
        <v>127</v>
      </c>
      <c r="G24" t="s">
        <v>320</v>
      </c>
      <c r="H24" t="s">
        <v>218</v>
      </c>
      <c r="I24" s="3" t="s">
        <v>128</v>
      </c>
      <c r="J24" s="3" t="s">
        <v>245</v>
      </c>
    </row>
    <row r="25" spans="1:10">
      <c r="A25" s="115">
        <v>20</v>
      </c>
      <c r="B25" t="s">
        <v>100</v>
      </c>
      <c r="C25" s="115" t="s">
        <v>185</v>
      </c>
      <c r="F25" s="3" t="s">
        <v>127</v>
      </c>
      <c r="G25" t="s">
        <v>327</v>
      </c>
      <c r="H25" t="s">
        <v>217</v>
      </c>
      <c r="I25" s="3" t="s">
        <v>128</v>
      </c>
      <c r="J25" s="3" t="s">
        <v>245</v>
      </c>
    </row>
    <row r="26" spans="1:10">
      <c r="A26" s="115">
        <v>21</v>
      </c>
      <c r="B26" t="s">
        <v>106</v>
      </c>
      <c r="C26" s="115" t="s">
        <v>188</v>
      </c>
      <c r="F26" s="3" t="s">
        <v>127</v>
      </c>
      <c r="G26" t="s">
        <v>328</v>
      </c>
      <c r="H26" t="s">
        <v>187</v>
      </c>
      <c r="I26" s="3" t="s">
        <v>300</v>
      </c>
      <c r="J26" s="3" t="s">
        <v>245</v>
      </c>
    </row>
    <row r="27" spans="1:10">
      <c r="A27" s="115">
        <v>22</v>
      </c>
      <c r="B27" t="s">
        <v>103</v>
      </c>
      <c r="C27" s="115" t="s">
        <v>103</v>
      </c>
      <c r="E27" s="3" t="s">
        <v>127</v>
      </c>
      <c r="G27" t="s">
        <v>315</v>
      </c>
      <c r="H27" t="s">
        <v>189</v>
      </c>
      <c r="I27" s="3" t="s">
        <v>300</v>
      </c>
      <c r="J27" s="3" t="s">
        <v>245</v>
      </c>
    </row>
    <row r="28" spans="1:10">
      <c r="A28" s="115">
        <v>23</v>
      </c>
      <c r="B28" t="s">
        <v>107</v>
      </c>
      <c r="C28" s="115" t="s">
        <v>107</v>
      </c>
      <c r="E28" s="3" t="s">
        <v>127</v>
      </c>
      <c r="G28" t="s">
        <v>316</v>
      </c>
      <c r="H28" t="s">
        <v>192</v>
      </c>
      <c r="I28" s="3" t="s">
        <v>300</v>
      </c>
      <c r="J28" s="3" t="s">
        <v>245</v>
      </c>
    </row>
    <row r="29" spans="1:10">
      <c r="A29" s="115">
        <v>24</v>
      </c>
      <c r="B29" t="s">
        <v>108</v>
      </c>
      <c r="C29" s="115" t="s">
        <v>108</v>
      </c>
      <c r="E29" s="3" t="s">
        <v>127</v>
      </c>
      <c r="G29" t="s">
        <v>317</v>
      </c>
      <c r="H29" t="s">
        <v>194</v>
      </c>
      <c r="I29" s="3" t="s">
        <v>300</v>
      </c>
      <c r="J29" s="3" t="s">
        <v>245</v>
      </c>
    </row>
    <row r="30" spans="1:10">
      <c r="A30" s="115">
        <v>25</v>
      </c>
      <c r="B30" t="s">
        <v>99</v>
      </c>
      <c r="C30" s="115" t="s">
        <v>99</v>
      </c>
      <c r="E30" s="3" t="s">
        <v>127</v>
      </c>
      <c r="G30" t="s">
        <v>318</v>
      </c>
      <c r="H30" t="s">
        <v>319</v>
      </c>
      <c r="I30" s="3" t="s">
        <v>300</v>
      </c>
      <c r="J30" s="3" t="s">
        <v>245</v>
      </c>
    </row>
    <row r="33" spans="1:10">
      <c r="A33" s="115">
        <v>26</v>
      </c>
      <c r="B33" t="s">
        <v>242</v>
      </c>
      <c r="D33" s="115" t="s">
        <v>85</v>
      </c>
      <c r="E33" s="3" t="s">
        <v>127</v>
      </c>
      <c r="G33" t="s">
        <v>278</v>
      </c>
      <c r="I33" s="3" t="s">
        <v>300</v>
      </c>
      <c r="J33" t="s">
        <v>277</v>
      </c>
    </row>
    <row r="34" spans="1:10">
      <c r="A34" s="115">
        <v>27</v>
      </c>
      <c r="B34" t="s">
        <v>243</v>
      </c>
      <c r="E34" s="3" t="s">
        <v>162</v>
      </c>
      <c r="F34" s="3" t="s">
        <v>162</v>
      </c>
      <c r="G34" t="s">
        <v>279</v>
      </c>
      <c r="I34" s="3" t="s">
        <v>300</v>
      </c>
      <c r="J34" t="s">
        <v>277</v>
      </c>
    </row>
    <row r="35" spans="1:10">
      <c r="A35" s="115">
        <v>28</v>
      </c>
      <c r="B35" t="s">
        <v>246</v>
      </c>
      <c r="D35" s="115" t="s">
        <v>107</v>
      </c>
      <c r="E35" s="3" t="s">
        <v>127</v>
      </c>
      <c r="G35" t="s">
        <v>280</v>
      </c>
      <c r="I35" s="3" t="s">
        <v>300</v>
      </c>
      <c r="J35" t="s">
        <v>277</v>
      </c>
    </row>
    <row r="36" spans="1:10">
      <c r="A36" s="115">
        <v>29</v>
      </c>
      <c r="B36" t="s">
        <v>247</v>
      </c>
      <c r="D36" s="115" t="s">
        <v>99</v>
      </c>
      <c r="E36" s="3" t="s">
        <v>127</v>
      </c>
      <c r="G36" t="s">
        <v>281</v>
      </c>
      <c r="I36" s="3" t="s">
        <v>300</v>
      </c>
      <c r="J36" t="s">
        <v>277</v>
      </c>
    </row>
    <row r="37" spans="1:10">
      <c r="A37" s="115">
        <v>30</v>
      </c>
      <c r="B37" t="s">
        <v>266</v>
      </c>
      <c r="D37" s="115" t="s">
        <v>103</v>
      </c>
      <c r="E37" s="3" t="s">
        <v>127</v>
      </c>
      <c r="G37" t="s">
        <v>282</v>
      </c>
      <c r="I37" s="3" t="s">
        <v>300</v>
      </c>
      <c r="J37" t="s">
        <v>277</v>
      </c>
    </row>
    <row r="38" spans="1:10">
      <c r="A38" s="115">
        <v>31</v>
      </c>
      <c r="B38" t="s">
        <v>267</v>
      </c>
      <c r="D38" s="115" t="s">
        <v>261</v>
      </c>
      <c r="E38" s="3" t="s">
        <v>127</v>
      </c>
      <c r="G38" t="s">
        <v>283</v>
      </c>
      <c r="I38" s="3" t="s">
        <v>300</v>
      </c>
      <c r="J38" t="s">
        <v>277</v>
      </c>
    </row>
    <row r="39" spans="1:10">
      <c r="A39" s="115">
        <v>32</v>
      </c>
      <c r="B39" t="s">
        <v>248</v>
      </c>
      <c r="D39" s="115" t="s">
        <v>262</v>
      </c>
      <c r="E39" s="3" t="s">
        <v>127</v>
      </c>
      <c r="G39" t="s">
        <v>284</v>
      </c>
      <c r="I39" s="3" t="s">
        <v>128</v>
      </c>
      <c r="J39" t="s">
        <v>277</v>
      </c>
    </row>
    <row r="40" spans="1:10">
      <c r="A40" s="115">
        <v>33</v>
      </c>
      <c r="B40" t="s">
        <v>249</v>
      </c>
      <c r="D40" s="115" t="s">
        <v>263</v>
      </c>
      <c r="E40" s="3" t="s">
        <v>127</v>
      </c>
      <c r="G40" t="s">
        <v>285</v>
      </c>
      <c r="I40" s="3" t="s">
        <v>321</v>
      </c>
      <c r="J40" t="s">
        <v>277</v>
      </c>
    </row>
    <row r="41" spans="1:10">
      <c r="A41" s="115">
        <v>34</v>
      </c>
      <c r="B41" t="s">
        <v>250</v>
      </c>
      <c r="D41" s="115" t="s">
        <v>264</v>
      </c>
      <c r="E41" s="3" t="s">
        <v>127</v>
      </c>
      <c r="G41" t="s">
        <v>286</v>
      </c>
      <c r="I41" s="3" t="s">
        <v>321</v>
      </c>
      <c r="J41" t="s">
        <v>277</v>
      </c>
    </row>
    <row r="42" spans="1:10">
      <c r="A42" s="115">
        <v>35</v>
      </c>
      <c r="B42" t="s">
        <v>251</v>
      </c>
      <c r="D42" s="115" t="s">
        <v>268</v>
      </c>
      <c r="E42" s="3" t="s">
        <v>127</v>
      </c>
      <c r="G42" t="s">
        <v>287</v>
      </c>
      <c r="I42" s="3" t="s">
        <v>300</v>
      </c>
      <c r="J42" t="s">
        <v>277</v>
      </c>
    </row>
    <row r="43" spans="1:10">
      <c r="A43" s="115">
        <v>36</v>
      </c>
      <c r="B43" t="s">
        <v>299</v>
      </c>
      <c r="D43" s="115" t="s">
        <v>269</v>
      </c>
      <c r="E43" s="3" t="s">
        <v>127</v>
      </c>
      <c r="G43" t="s">
        <v>288</v>
      </c>
      <c r="I43" s="3" t="s">
        <v>300</v>
      </c>
      <c r="J43" t="s">
        <v>277</v>
      </c>
    </row>
    <row r="44" spans="1:10">
      <c r="A44" s="115">
        <v>37</v>
      </c>
      <c r="B44" t="s">
        <v>252</v>
      </c>
      <c r="D44" s="115" t="s">
        <v>270</v>
      </c>
      <c r="E44" s="3" t="s">
        <v>127</v>
      </c>
      <c r="G44" t="s">
        <v>289</v>
      </c>
      <c r="I44" s="3" t="s">
        <v>322</v>
      </c>
      <c r="J44" t="s">
        <v>277</v>
      </c>
    </row>
    <row r="45" spans="1:10">
      <c r="A45" s="115">
        <v>38</v>
      </c>
      <c r="B45" t="s">
        <v>253</v>
      </c>
      <c r="D45" s="115" t="s">
        <v>91</v>
      </c>
      <c r="E45" s="3" t="s">
        <v>127</v>
      </c>
      <c r="G45" t="s">
        <v>290</v>
      </c>
      <c r="I45" s="3" t="s">
        <v>300</v>
      </c>
      <c r="J45" t="s">
        <v>277</v>
      </c>
    </row>
    <row r="46" spans="1:10">
      <c r="A46" s="115">
        <v>39</v>
      </c>
      <c r="B46" t="s">
        <v>254</v>
      </c>
      <c r="D46" s="115" t="s">
        <v>271</v>
      </c>
      <c r="E46" s="3" t="s">
        <v>127</v>
      </c>
      <c r="G46" t="s">
        <v>291</v>
      </c>
      <c r="I46" s="3" t="s">
        <v>322</v>
      </c>
      <c r="J46" t="s">
        <v>277</v>
      </c>
    </row>
    <row r="47" spans="1:10">
      <c r="A47" s="115">
        <v>40</v>
      </c>
      <c r="B47" t="s">
        <v>255</v>
      </c>
      <c r="D47" s="115" t="s">
        <v>272</v>
      </c>
      <c r="E47" s="3" t="s">
        <v>127</v>
      </c>
      <c r="G47" t="s">
        <v>292</v>
      </c>
      <c r="I47" s="3" t="s">
        <v>323</v>
      </c>
      <c r="J47" t="s">
        <v>277</v>
      </c>
    </row>
    <row r="48" spans="1:10">
      <c r="A48" s="115">
        <v>41</v>
      </c>
      <c r="B48" t="s">
        <v>256</v>
      </c>
      <c r="D48" s="115" t="s">
        <v>273</v>
      </c>
      <c r="E48" s="3" t="s">
        <v>127</v>
      </c>
      <c r="G48" t="s">
        <v>293</v>
      </c>
      <c r="I48" s="3" t="s">
        <v>321</v>
      </c>
      <c r="J48" t="s">
        <v>277</v>
      </c>
    </row>
    <row r="49" spans="1:10">
      <c r="A49" s="115">
        <v>42</v>
      </c>
      <c r="B49" t="s">
        <v>257</v>
      </c>
      <c r="D49" s="115" t="s">
        <v>88</v>
      </c>
      <c r="E49" s="3" t="s">
        <v>127</v>
      </c>
      <c r="G49" t="s">
        <v>294</v>
      </c>
      <c r="I49" s="3" t="s">
        <v>300</v>
      </c>
      <c r="J49" t="s">
        <v>277</v>
      </c>
    </row>
    <row r="50" spans="1:10">
      <c r="A50" s="115">
        <v>43</v>
      </c>
      <c r="B50" t="s">
        <v>258</v>
      </c>
      <c r="D50" s="115" t="s">
        <v>274</v>
      </c>
      <c r="E50" s="3" t="s">
        <v>127</v>
      </c>
      <c r="G50" t="s">
        <v>295</v>
      </c>
      <c r="I50" s="3" t="s">
        <v>138</v>
      </c>
      <c r="J50" t="s">
        <v>277</v>
      </c>
    </row>
    <row r="51" spans="1:10">
      <c r="A51" s="115">
        <v>44</v>
      </c>
      <c r="B51" t="s">
        <v>259</v>
      </c>
      <c r="D51" s="115" t="s">
        <v>275</v>
      </c>
      <c r="E51" s="3" t="s">
        <v>127</v>
      </c>
      <c r="G51" t="s">
        <v>296</v>
      </c>
      <c r="I51" s="3" t="s">
        <v>322</v>
      </c>
      <c r="J51" t="s">
        <v>277</v>
      </c>
    </row>
    <row r="52" spans="1:10">
      <c r="A52" s="115">
        <v>45</v>
      </c>
      <c r="B52" t="s">
        <v>260</v>
      </c>
      <c r="D52" s="115" t="s">
        <v>276</v>
      </c>
      <c r="E52" s="3" t="s">
        <v>127</v>
      </c>
      <c r="G52" t="s">
        <v>297</v>
      </c>
      <c r="I52" s="3" t="s">
        <v>300</v>
      </c>
      <c r="J52" t="s">
        <v>277</v>
      </c>
    </row>
    <row r="55" spans="1:10">
      <c r="A55" s="115">
        <v>46</v>
      </c>
      <c r="B55" s="115" t="s">
        <v>85</v>
      </c>
      <c r="D55" s="115" t="s">
        <v>242</v>
      </c>
      <c r="E55" s="3" t="s">
        <v>127</v>
      </c>
      <c r="G55" t="s">
        <v>278</v>
      </c>
      <c r="I55" s="3" t="s">
        <v>300</v>
      </c>
      <c r="J55" t="s">
        <v>265</v>
      </c>
    </row>
    <row r="56" spans="1:10">
      <c r="A56" s="115">
        <v>47</v>
      </c>
      <c r="B56" s="115" t="s">
        <v>107</v>
      </c>
      <c r="D56" s="115" t="s">
        <v>246</v>
      </c>
      <c r="E56" s="3" t="s">
        <v>127</v>
      </c>
      <c r="G56" t="s">
        <v>280</v>
      </c>
      <c r="I56" s="3" t="s">
        <v>300</v>
      </c>
      <c r="J56" t="s">
        <v>265</v>
      </c>
    </row>
    <row r="57" spans="1:10">
      <c r="A57" s="115">
        <v>48</v>
      </c>
      <c r="B57" s="115" t="s">
        <v>99</v>
      </c>
      <c r="D57" s="115" t="s">
        <v>247</v>
      </c>
      <c r="E57" s="3" t="s">
        <v>127</v>
      </c>
      <c r="G57" t="s">
        <v>281</v>
      </c>
      <c r="I57" s="3" t="s">
        <v>300</v>
      </c>
      <c r="J57" t="s">
        <v>265</v>
      </c>
    </row>
    <row r="58" spans="1:10">
      <c r="A58" s="115">
        <v>49</v>
      </c>
      <c r="B58" s="115" t="s">
        <v>103</v>
      </c>
      <c r="D58" s="115" t="s">
        <v>266</v>
      </c>
      <c r="E58" s="3" t="s">
        <v>127</v>
      </c>
      <c r="G58" t="s">
        <v>282</v>
      </c>
      <c r="I58" s="3" t="s">
        <v>300</v>
      </c>
      <c r="J58" t="s">
        <v>265</v>
      </c>
    </row>
    <row r="59" spans="1:10">
      <c r="A59" s="115">
        <v>50</v>
      </c>
      <c r="B59" s="115" t="s">
        <v>261</v>
      </c>
      <c r="D59" s="115" t="s">
        <v>267</v>
      </c>
      <c r="E59" s="3" t="s">
        <v>127</v>
      </c>
      <c r="G59" t="s">
        <v>283</v>
      </c>
      <c r="I59" s="3" t="s">
        <v>300</v>
      </c>
      <c r="J59" t="s">
        <v>265</v>
      </c>
    </row>
    <row r="60" spans="1:10">
      <c r="A60" s="115">
        <v>51</v>
      </c>
      <c r="B60" s="115" t="s">
        <v>262</v>
      </c>
      <c r="D60" s="115" t="s">
        <v>248</v>
      </c>
      <c r="E60" s="3" t="s">
        <v>127</v>
      </c>
      <c r="G60" t="s">
        <v>284</v>
      </c>
      <c r="I60" s="3" t="s">
        <v>128</v>
      </c>
      <c r="J60" t="s">
        <v>265</v>
      </c>
    </row>
    <row r="61" spans="1:10">
      <c r="A61" s="115">
        <v>52</v>
      </c>
      <c r="B61" s="115" t="s">
        <v>263</v>
      </c>
      <c r="D61" s="115" t="s">
        <v>249</v>
      </c>
      <c r="E61" s="3" t="s">
        <v>127</v>
      </c>
      <c r="G61" t="s">
        <v>285</v>
      </c>
      <c r="I61" s="3" t="s">
        <v>321</v>
      </c>
      <c r="J61" t="s">
        <v>265</v>
      </c>
    </row>
    <row r="62" spans="1:10">
      <c r="A62" s="115">
        <v>53</v>
      </c>
      <c r="B62" s="115" t="s">
        <v>264</v>
      </c>
      <c r="D62" s="115" t="s">
        <v>250</v>
      </c>
      <c r="E62" s="3" t="s">
        <v>127</v>
      </c>
      <c r="G62" t="s">
        <v>286</v>
      </c>
      <c r="I62" s="3" t="s">
        <v>321</v>
      </c>
      <c r="J62" t="s">
        <v>265</v>
      </c>
    </row>
    <row r="63" spans="1:10">
      <c r="A63" s="115">
        <v>54</v>
      </c>
      <c r="B63" s="115" t="s">
        <v>268</v>
      </c>
      <c r="D63" s="115" t="s">
        <v>251</v>
      </c>
      <c r="E63" s="3" t="s">
        <v>127</v>
      </c>
      <c r="G63" t="s">
        <v>287</v>
      </c>
      <c r="I63" s="3" t="s">
        <v>300</v>
      </c>
      <c r="J63" t="s">
        <v>265</v>
      </c>
    </row>
    <row r="64" spans="1:10">
      <c r="A64" s="115">
        <v>55</v>
      </c>
      <c r="B64" s="115" t="s">
        <v>269</v>
      </c>
      <c r="D64" s="115" t="s">
        <v>299</v>
      </c>
      <c r="E64" s="3" t="s">
        <v>127</v>
      </c>
      <c r="G64" t="s">
        <v>288</v>
      </c>
      <c r="I64" s="3" t="s">
        <v>300</v>
      </c>
      <c r="J64" t="s">
        <v>265</v>
      </c>
    </row>
    <row r="65" spans="1:10">
      <c r="A65" s="115">
        <v>56</v>
      </c>
      <c r="B65" s="115" t="s">
        <v>270</v>
      </c>
      <c r="D65" s="115" t="s">
        <v>252</v>
      </c>
      <c r="E65" s="3" t="s">
        <v>127</v>
      </c>
      <c r="G65" t="s">
        <v>289</v>
      </c>
      <c r="I65" s="3" t="s">
        <v>322</v>
      </c>
      <c r="J65" t="s">
        <v>265</v>
      </c>
    </row>
    <row r="66" spans="1:10">
      <c r="A66" s="115">
        <v>57</v>
      </c>
      <c r="B66" s="115" t="s">
        <v>91</v>
      </c>
      <c r="D66" s="115" t="s">
        <v>253</v>
      </c>
      <c r="E66" s="3" t="s">
        <v>127</v>
      </c>
      <c r="G66" t="s">
        <v>290</v>
      </c>
      <c r="I66" s="3" t="s">
        <v>300</v>
      </c>
      <c r="J66" t="s">
        <v>265</v>
      </c>
    </row>
    <row r="67" spans="1:10">
      <c r="A67" s="115">
        <v>58</v>
      </c>
      <c r="B67" s="115" t="s">
        <v>271</v>
      </c>
      <c r="D67" s="115" t="s">
        <v>254</v>
      </c>
      <c r="E67" s="3" t="s">
        <v>127</v>
      </c>
      <c r="G67" t="s">
        <v>291</v>
      </c>
      <c r="I67" s="3" t="s">
        <v>322</v>
      </c>
      <c r="J67" t="s">
        <v>265</v>
      </c>
    </row>
    <row r="68" spans="1:10">
      <c r="A68" s="115">
        <v>59</v>
      </c>
      <c r="B68" s="115" t="s">
        <v>272</v>
      </c>
      <c r="D68" s="115" t="s">
        <v>255</v>
      </c>
      <c r="E68" s="3" t="s">
        <v>127</v>
      </c>
      <c r="G68" t="s">
        <v>292</v>
      </c>
      <c r="I68" s="3" t="s">
        <v>323</v>
      </c>
      <c r="J68" t="s">
        <v>265</v>
      </c>
    </row>
    <row r="69" spans="1:10">
      <c r="A69" s="115">
        <v>60</v>
      </c>
      <c r="B69" s="115" t="s">
        <v>273</v>
      </c>
      <c r="D69" s="115" t="s">
        <v>256</v>
      </c>
      <c r="E69" s="3" t="s">
        <v>127</v>
      </c>
      <c r="G69" t="s">
        <v>293</v>
      </c>
      <c r="I69" s="3" t="s">
        <v>321</v>
      </c>
      <c r="J69" t="s">
        <v>265</v>
      </c>
    </row>
    <row r="70" spans="1:10">
      <c r="A70" s="115">
        <v>61</v>
      </c>
      <c r="B70" s="115" t="s">
        <v>88</v>
      </c>
      <c r="D70" s="115" t="s">
        <v>257</v>
      </c>
      <c r="E70" s="3" t="s">
        <v>127</v>
      </c>
      <c r="G70" t="s">
        <v>294</v>
      </c>
      <c r="I70" s="3" t="s">
        <v>300</v>
      </c>
      <c r="J70" t="s">
        <v>265</v>
      </c>
    </row>
    <row r="71" spans="1:10">
      <c r="A71" s="115">
        <v>62</v>
      </c>
      <c r="B71" s="115" t="s">
        <v>274</v>
      </c>
      <c r="D71" s="115" t="s">
        <v>258</v>
      </c>
      <c r="E71" s="3" t="s">
        <v>127</v>
      </c>
      <c r="G71" t="s">
        <v>295</v>
      </c>
      <c r="I71" s="3" t="s">
        <v>138</v>
      </c>
      <c r="J71" t="s">
        <v>265</v>
      </c>
    </row>
    <row r="72" spans="1:10">
      <c r="A72" s="115">
        <v>63</v>
      </c>
      <c r="B72" s="115" t="s">
        <v>275</v>
      </c>
      <c r="D72" s="115" t="s">
        <v>259</v>
      </c>
      <c r="E72" s="3" t="s">
        <v>127</v>
      </c>
      <c r="G72" t="s">
        <v>296</v>
      </c>
      <c r="I72" s="3" t="s">
        <v>322</v>
      </c>
      <c r="J72" t="s">
        <v>265</v>
      </c>
    </row>
    <row r="73" spans="1:10">
      <c r="A73" s="115">
        <v>64</v>
      </c>
      <c r="B73" s="115" t="s">
        <v>276</v>
      </c>
      <c r="D73" s="115" t="s">
        <v>260</v>
      </c>
      <c r="E73" s="3" t="s">
        <v>127</v>
      </c>
      <c r="G73" t="s">
        <v>297</v>
      </c>
      <c r="I73" s="3" t="s">
        <v>300</v>
      </c>
      <c r="J73" t="s">
        <v>265</v>
      </c>
    </row>
    <row r="76" spans="1:10">
      <c r="A76" s="115">
        <v>65</v>
      </c>
      <c r="B76" t="s">
        <v>221</v>
      </c>
      <c r="D76" s="115" t="s">
        <v>349</v>
      </c>
      <c r="F76" s="3" t="s">
        <v>127</v>
      </c>
      <c r="G76" t="s">
        <v>329</v>
      </c>
      <c r="I76" s="3" t="s">
        <v>300</v>
      </c>
      <c r="J76" t="s">
        <v>239</v>
      </c>
    </row>
    <row r="77" spans="1:10">
      <c r="A77" s="115">
        <v>66</v>
      </c>
      <c r="B77" t="s">
        <v>222</v>
      </c>
      <c r="D77" s="130" t="s">
        <v>350</v>
      </c>
      <c r="F77" s="3" t="s">
        <v>127</v>
      </c>
      <c r="G77" t="s">
        <v>330</v>
      </c>
      <c r="I77" s="3" t="s">
        <v>300</v>
      </c>
      <c r="J77" t="s">
        <v>239</v>
      </c>
    </row>
    <row r="78" spans="1:10">
      <c r="A78" s="115">
        <v>67</v>
      </c>
      <c r="B78" t="s">
        <v>223</v>
      </c>
      <c r="D78" s="115" t="s">
        <v>146</v>
      </c>
      <c r="F78" s="3" t="s">
        <v>127</v>
      </c>
      <c r="G78" t="s">
        <v>331</v>
      </c>
      <c r="I78" s="3" t="s">
        <v>128</v>
      </c>
      <c r="J78" t="s">
        <v>239</v>
      </c>
    </row>
    <row r="79" spans="1:10">
      <c r="A79" s="115">
        <v>68</v>
      </c>
      <c r="B79" t="s">
        <v>224</v>
      </c>
      <c r="D79" s="115" t="s">
        <v>240</v>
      </c>
      <c r="F79" s="3" t="s">
        <v>127</v>
      </c>
      <c r="G79" t="s">
        <v>332</v>
      </c>
      <c r="I79" s="3" t="s">
        <v>128</v>
      </c>
      <c r="J79" t="s">
        <v>239</v>
      </c>
    </row>
    <row r="80" spans="1:10">
      <c r="A80" s="115">
        <v>69</v>
      </c>
      <c r="B80" t="s">
        <v>225</v>
      </c>
      <c r="D80" s="115" t="s">
        <v>86</v>
      </c>
      <c r="F80" s="3" t="s">
        <v>127</v>
      </c>
      <c r="G80" t="s">
        <v>333</v>
      </c>
      <c r="I80" s="3" t="s">
        <v>300</v>
      </c>
      <c r="J80" t="s">
        <v>239</v>
      </c>
    </row>
    <row r="81" spans="1:10">
      <c r="A81" s="115">
        <v>70</v>
      </c>
      <c r="B81" t="s">
        <v>226</v>
      </c>
      <c r="D81" s="115" t="s">
        <v>106</v>
      </c>
      <c r="F81" s="3" t="s">
        <v>127</v>
      </c>
      <c r="G81" t="s">
        <v>328</v>
      </c>
      <c r="I81" s="3" t="s">
        <v>300</v>
      </c>
      <c r="J81" t="s">
        <v>239</v>
      </c>
    </row>
    <row r="82" spans="1:10">
      <c r="A82" s="115">
        <v>71</v>
      </c>
      <c r="B82" t="s">
        <v>227</v>
      </c>
      <c r="D82" s="115" t="s">
        <v>351</v>
      </c>
      <c r="F82" s="3" t="s">
        <v>127</v>
      </c>
      <c r="G82" t="s">
        <v>334</v>
      </c>
      <c r="I82" s="3" t="s">
        <v>300</v>
      </c>
      <c r="J82" t="s">
        <v>239</v>
      </c>
    </row>
    <row r="83" spans="1:10">
      <c r="A83" s="115">
        <v>72</v>
      </c>
      <c r="B83" t="s">
        <v>238</v>
      </c>
      <c r="D83" s="115" t="s">
        <v>345</v>
      </c>
      <c r="F83" s="3" t="s">
        <v>127</v>
      </c>
      <c r="G83" t="s">
        <v>335</v>
      </c>
      <c r="I83" s="3" t="s">
        <v>300</v>
      </c>
      <c r="J83" t="s">
        <v>239</v>
      </c>
    </row>
    <row r="84" spans="1:10">
      <c r="A84" s="115">
        <v>73</v>
      </c>
      <c r="B84" t="s">
        <v>228</v>
      </c>
      <c r="D84" s="115" t="s">
        <v>346</v>
      </c>
      <c r="F84" s="3" t="s">
        <v>127</v>
      </c>
      <c r="G84" t="s">
        <v>336</v>
      </c>
      <c r="I84" s="3" t="s">
        <v>300</v>
      </c>
      <c r="J84" t="s">
        <v>239</v>
      </c>
    </row>
    <row r="85" spans="1:10">
      <c r="A85" s="115">
        <v>74</v>
      </c>
      <c r="B85" t="s">
        <v>229</v>
      </c>
      <c r="D85" s="115" t="s">
        <v>230</v>
      </c>
      <c r="F85" s="3" t="s">
        <v>127</v>
      </c>
      <c r="G85" t="s">
        <v>337</v>
      </c>
      <c r="I85" s="3" t="s">
        <v>300</v>
      </c>
      <c r="J85" t="s">
        <v>239</v>
      </c>
    </row>
    <row r="86" spans="1:10">
      <c r="A86" s="115">
        <v>75</v>
      </c>
      <c r="B86" t="s">
        <v>230</v>
      </c>
      <c r="D86" s="115" t="s">
        <v>229</v>
      </c>
      <c r="F86" s="3" t="s">
        <v>127</v>
      </c>
      <c r="G86" t="s">
        <v>337</v>
      </c>
      <c r="I86" s="3" t="s">
        <v>300</v>
      </c>
      <c r="J86" t="s">
        <v>239</v>
      </c>
    </row>
    <row r="87" spans="1:10">
      <c r="A87" s="115">
        <v>76</v>
      </c>
      <c r="B87" t="s">
        <v>231</v>
      </c>
      <c r="D87" s="115" t="s">
        <v>232</v>
      </c>
      <c r="F87" s="3" t="s">
        <v>127</v>
      </c>
      <c r="G87" t="s">
        <v>338</v>
      </c>
      <c r="I87" s="3" t="s">
        <v>300</v>
      </c>
      <c r="J87" t="s">
        <v>239</v>
      </c>
    </row>
    <row r="88" spans="1:10">
      <c r="A88" s="115">
        <v>77</v>
      </c>
      <c r="B88" t="s">
        <v>232</v>
      </c>
      <c r="D88" s="115" t="s">
        <v>231</v>
      </c>
      <c r="F88" s="3" t="s">
        <v>127</v>
      </c>
      <c r="G88" t="s">
        <v>333</v>
      </c>
      <c r="I88" s="3" t="s">
        <v>300</v>
      </c>
      <c r="J88" t="s">
        <v>239</v>
      </c>
    </row>
    <row r="89" spans="1:10">
      <c r="A89" s="115">
        <v>78</v>
      </c>
      <c r="B89" t="s">
        <v>233</v>
      </c>
      <c r="D89" s="115" t="s">
        <v>107</v>
      </c>
      <c r="F89" s="3" t="s">
        <v>127</v>
      </c>
      <c r="G89" t="s">
        <v>339</v>
      </c>
      <c r="I89" s="3" t="s">
        <v>300</v>
      </c>
      <c r="J89" t="s">
        <v>239</v>
      </c>
    </row>
    <row r="90" spans="1:10">
      <c r="A90" s="115">
        <v>79</v>
      </c>
      <c r="B90" t="s">
        <v>234</v>
      </c>
      <c r="D90" s="115" t="s">
        <v>347</v>
      </c>
      <c r="F90" s="3" t="s">
        <v>127</v>
      </c>
      <c r="G90" t="s">
        <v>340</v>
      </c>
      <c r="I90" s="3" t="s">
        <v>138</v>
      </c>
      <c r="J90" t="s">
        <v>239</v>
      </c>
    </row>
    <row r="91" spans="1:10">
      <c r="A91" s="115">
        <v>80</v>
      </c>
      <c r="B91" t="s">
        <v>235</v>
      </c>
      <c r="D91" s="115" t="s">
        <v>348</v>
      </c>
      <c r="F91" s="3" t="s">
        <v>127</v>
      </c>
      <c r="G91" t="s">
        <v>341</v>
      </c>
      <c r="I91" s="3" t="s">
        <v>138</v>
      </c>
      <c r="J91" t="s">
        <v>239</v>
      </c>
    </row>
  </sheetData>
  <phoneticPr fontId="0" type="noConversion"/>
  <printOptions gridLines="1" gridLinesSet="0"/>
  <pageMargins left="0.78740157499999996" right="0.78740157499999996" top="0.984251969" bottom="0.71" header="0.4921259845" footer="0.4921259845"/>
  <pageSetup scale="79" fitToHeight="2" orientation="landscape" r:id="rId1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85"/>
  <sheetViews>
    <sheetView workbookViewId="0">
      <selection activeCell="F20" sqref="F20"/>
    </sheetView>
  </sheetViews>
  <sheetFormatPr baseColWidth="10" defaultRowHeight="12.75"/>
  <cols>
    <col min="1" max="1" width="5" style="115" customWidth="1"/>
    <col min="3" max="3" width="9" style="115" customWidth="1"/>
    <col min="4" max="4" width="11.85546875" style="115" customWidth="1"/>
    <col min="5" max="5" width="7.42578125" style="3" customWidth="1"/>
    <col min="6" max="6" width="10" style="3" customWidth="1"/>
    <col min="7" max="7" width="40.85546875" customWidth="1"/>
    <col min="8" max="8" width="38.140625" customWidth="1"/>
    <col min="9" max="9" width="9.7109375" bestFit="1" customWidth="1"/>
  </cols>
  <sheetData>
    <row r="1" spans="1:10">
      <c r="A1" s="1" t="s">
        <v>216</v>
      </c>
    </row>
    <row r="2" spans="1:10">
      <c r="B2" s="123">
        <f ca="1">TODAY()</f>
        <v>41528</v>
      </c>
    </row>
    <row r="3" spans="1:10">
      <c r="A3" s="123"/>
    </row>
    <row r="4" spans="1:10" ht="15.75">
      <c r="A4" s="116" t="s">
        <v>241</v>
      </c>
    </row>
    <row r="5" spans="1:10" s="126" customFormat="1" ht="38.25">
      <c r="A5" s="129" t="s">
        <v>298</v>
      </c>
      <c r="B5" s="124" t="s">
        <v>236</v>
      </c>
      <c r="C5" s="127" t="s">
        <v>237</v>
      </c>
      <c r="D5" s="127" t="s">
        <v>344</v>
      </c>
      <c r="E5" s="125" t="s">
        <v>342</v>
      </c>
      <c r="F5" s="125" t="s">
        <v>343</v>
      </c>
      <c r="G5" s="124" t="s">
        <v>116</v>
      </c>
      <c r="H5" s="124" t="s">
        <v>117</v>
      </c>
      <c r="I5" s="125" t="s">
        <v>121</v>
      </c>
      <c r="J5" s="128" t="s">
        <v>244</v>
      </c>
    </row>
    <row r="6" spans="1:10">
      <c r="A6" s="115">
        <v>71</v>
      </c>
      <c r="B6" t="s">
        <v>227</v>
      </c>
      <c r="D6" s="115" t="s">
        <v>351</v>
      </c>
      <c r="F6" s="3" t="s">
        <v>127</v>
      </c>
      <c r="G6" t="s">
        <v>334</v>
      </c>
      <c r="I6" s="3" t="s">
        <v>300</v>
      </c>
      <c r="J6" t="s">
        <v>239</v>
      </c>
    </row>
    <row r="7" spans="1:10">
      <c r="A7" s="115">
        <v>1</v>
      </c>
      <c r="B7" s="120" t="s">
        <v>123</v>
      </c>
      <c r="C7" s="115" t="s">
        <v>126</v>
      </c>
      <c r="F7" s="3" t="s">
        <v>127</v>
      </c>
      <c r="G7" t="s">
        <v>301</v>
      </c>
      <c r="H7" t="s">
        <v>125</v>
      </c>
      <c r="I7" s="3" t="s">
        <v>128</v>
      </c>
      <c r="J7" s="3" t="s">
        <v>245</v>
      </c>
    </row>
    <row r="8" spans="1:10">
      <c r="A8" s="115">
        <v>2</v>
      </c>
      <c r="B8" t="s">
        <v>95</v>
      </c>
      <c r="C8" s="115" t="s">
        <v>131</v>
      </c>
      <c r="F8" s="3" t="s">
        <v>127</v>
      </c>
      <c r="G8" t="s">
        <v>302</v>
      </c>
      <c r="H8" t="s">
        <v>130</v>
      </c>
      <c r="I8" s="3" t="s">
        <v>128</v>
      </c>
      <c r="J8" s="3" t="s">
        <v>245</v>
      </c>
    </row>
    <row r="9" spans="1:10">
      <c r="A9" s="115">
        <v>66</v>
      </c>
      <c r="B9" t="s">
        <v>222</v>
      </c>
      <c r="D9" s="130" t="s">
        <v>350</v>
      </c>
      <c r="F9" s="3" t="s">
        <v>127</v>
      </c>
      <c r="G9" t="s">
        <v>330</v>
      </c>
      <c r="I9" s="3" t="s">
        <v>300</v>
      </c>
      <c r="J9" t="s">
        <v>239</v>
      </c>
    </row>
    <row r="10" spans="1:10">
      <c r="A10" s="115">
        <v>65</v>
      </c>
      <c r="B10" t="s">
        <v>221</v>
      </c>
      <c r="D10" s="115" t="s">
        <v>349</v>
      </c>
      <c r="F10" s="3" t="s">
        <v>127</v>
      </c>
      <c r="G10" t="s">
        <v>329</v>
      </c>
      <c r="I10" s="3" t="s">
        <v>300</v>
      </c>
      <c r="J10" t="s">
        <v>239</v>
      </c>
    </row>
    <row r="11" spans="1:10">
      <c r="A11" s="115">
        <v>79</v>
      </c>
      <c r="B11" t="s">
        <v>234</v>
      </c>
      <c r="D11" s="115" t="s">
        <v>347</v>
      </c>
      <c r="F11" s="3" t="s">
        <v>127</v>
      </c>
      <c r="G11" t="s">
        <v>340</v>
      </c>
      <c r="I11" s="3" t="s">
        <v>138</v>
      </c>
      <c r="J11" t="s">
        <v>239</v>
      </c>
    </row>
    <row r="12" spans="1:10">
      <c r="A12" s="115">
        <v>3</v>
      </c>
      <c r="B12" t="s">
        <v>96</v>
      </c>
      <c r="C12" s="115" t="s">
        <v>134</v>
      </c>
      <c r="F12" s="3" t="s">
        <v>127</v>
      </c>
      <c r="G12" t="s">
        <v>303</v>
      </c>
      <c r="H12" t="s">
        <v>133</v>
      </c>
      <c r="I12" s="3" t="s">
        <v>300</v>
      </c>
      <c r="J12" s="3" t="s">
        <v>245</v>
      </c>
    </row>
    <row r="13" spans="1:10">
      <c r="A13" s="115">
        <v>4</v>
      </c>
      <c r="B13" t="s">
        <v>83</v>
      </c>
      <c r="C13" s="115" t="s">
        <v>137</v>
      </c>
      <c r="E13" s="3" t="s">
        <v>127</v>
      </c>
      <c r="G13" t="s">
        <v>304</v>
      </c>
      <c r="H13" t="s">
        <v>136</v>
      </c>
      <c r="I13" s="3" t="s">
        <v>138</v>
      </c>
      <c r="J13" s="3" t="s">
        <v>245</v>
      </c>
    </row>
    <row r="14" spans="1:10">
      <c r="A14" s="115">
        <v>5</v>
      </c>
      <c r="B14" t="s">
        <v>109</v>
      </c>
      <c r="C14" s="115" t="s">
        <v>141</v>
      </c>
      <c r="E14" s="3" t="s">
        <v>127</v>
      </c>
      <c r="G14" t="s">
        <v>305</v>
      </c>
      <c r="H14" t="s">
        <v>140</v>
      </c>
      <c r="I14" s="3" t="s">
        <v>138</v>
      </c>
      <c r="J14" s="3" t="s">
        <v>245</v>
      </c>
    </row>
    <row r="15" spans="1:10">
      <c r="A15" s="115">
        <v>72</v>
      </c>
      <c r="B15" t="s">
        <v>238</v>
      </c>
      <c r="D15" s="115" t="s">
        <v>345</v>
      </c>
      <c r="F15" s="3" t="s">
        <v>127</v>
      </c>
      <c r="G15" t="s">
        <v>335</v>
      </c>
      <c r="I15" s="3" t="s">
        <v>300</v>
      </c>
      <c r="J15" t="s">
        <v>239</v>
      </c>
    </row>
    <row r="16" spans="1:10">
      <c r="A16" s="115">
        <v>78</v>
      </c>
      <c r="B16" t="s">
        <v>233</v>
      </c>
      <c r="D16" s="115" t="s">
        <v>107</v>
      </c>
      <c r="F16" s="3" t="s">
        <v>127</v>
      </c>
      <c r="G16" t="s">
        <v>339</v>
      </c>
      <c r="I16" s="3" t="s">
        <v>300</v>
      </c>
      <c r="J16" t="s">
        <v>239</v>
      </c>
    </row>
    <row r="17" spans="1:10">
      <c r="A17" s="115">
        <v>76</v>
      </c>
      <c r="B17" t="s">
        <v>231</v>
      </c>
      <c r="D17" s="115" t="s">
        <v>232</v>
      </c>
      <c r="F17" s="3" t="s">
        <v>127</v>
      </c>
      <c r="G17" t="s">
        <v>338</v>
      </c>
      <c r="I17" s="3" t="s">
        <v>300</v>
      </c>
      <c r="J17" t="s">
        <v>239</v>
      </c>
    </row>
    <row r="18" spans="1:10">
      <c r="A18" s="115">
        <v>80</v>
      </c>
      <c r="B18" t="s">
        <v>235</v>
      </c>
      <c r="D18" s="115" t="s">
        <v>348</v>
      </c>
      <c r="F18" s="3" t="s">
        <v>127</v>
      </c>
      <c r="G18" t="s">
        <v>341</v>
      </c>
      <c r="I18" s="3" t="s">
        <v>138</v>
      </c>
      <c r="J18" t="s">
        <v>239</v>
      </c>
    </row>
    <row r="19" spans="1:10">
      <c r="A19" s="115">
        <v>68</v>
      </c>
      <c r="B19" t="s">
        <v>224</v>
      </c>
      <c r="D19" s="115" t="s">
        <v>240</v>
      </c>
      <c r="F19" s="3" t="s">
        <v>127</v>
      </c>
      <c r="G19" t="s">
        <v>332</v>
      </c>
      <c r="I19" s="3" t="s">
        <v>128</v>
      </c>
      <c r="J19" t="s">
        <v>239</v>
      </c>
    </row>
    <row r="20" spans="1:10">
      <c r="A20" s="115">
        <v>70</v>
      </c>
      <c r="B20" t="s">
        <v>226</v>
      </c>
      <c r="D20" s="115" t="s">
        <v>106</v>
      </c>
      <c r="F20" s="3" t="s">
        <v>127</v>
      </c>
      <c r="G20" t="s">
        <v>328</v>
      </c>
      <c r="I20" s="3" t="s">
        <v>300</v>
      </c>
      <c r="J20" t="s">
        <v>239</v>
      </c>
    </row>
    <row r="21" spans="1:10">
      <c r="A21" s="115">
        <v>73</v>
      </c>
      <c r="B21" t="s">
        <v>228</v>
      </c>
      <c r="D21" s="115" t="s">
        <v>346</v>
      </c>
      <c r="F21" s="3" t="s">
        <v>127</v>
      </c>
      <c r="G21" t="s">
        <v>336</v>
      </c>
      <c r="I21" s="3" t="s">
        <v>300</v>
      </c>
      <c r="J21" t="s">
        <v>239</v>
      </c>
    </row>
    <row r="22" spans="1:10">
      <c r="A22" s="115">
        <v>6</v>
      </c>
      <c r="B22" t="s">
        <v>91</v>
      </c>
      <c r="C22" s="115" t="s">
        <v>91</v>
      </c>
      <c r="E22" s="3" t="s">
        <v>127</v>
      </c>
      <c r="G22" t="s">
        <v>290</v>
      </c>
      <c r="H22" t="s">
        <v>144</v>
      </c>
      <c r="I22" s="3" t="s">
        <v>300</v>
      </c>
      <c r="J22" s="3" t="s">
        <v>245</v>
      </c>
    </row>
    <row r="23" spans="1:10">
      <c r="A23" s="115">
        <v>57</v>
      </c>
      <c r="B23" s="115" t="s">
        <v>91</v>
      </c>
      <c r="D23" s="115" t="s">
        <v>253</v>
      </c>
      <c r="E23" s="3" t="s">
        <v>127</v>
      </c>
      <c r="G23" t="s">
        <v>290</v>
      </c>
      <c r="I23" s="3" t="s">
        <v>300</v>
      </c>
      <c r="J23" t="s">
        <v>265</v>
      </c>
    </row>
    <row r="24" spans="1:10">
      <c r="A24" s="115">
        <v>40</v>
      </c>
      <c r="B24" t="s">
        <v>255</v>
      </c>
      <c r="D24" s="115" t="s">
        <v>272</v>
      </c>
      <c r="E24" s="3" t="s">
        <v>127</v>
      </c>
      <c r="G24" t="s">
        <v>292</v>
      </c>
      <c r="I24" s="3" t="s">
        <v>323</v>
      </c>
      <c r="J24" t="s">
        <v>277</v>
      </c>
    </row>
    <row r="25" spans="1:10">
      <c r="A25" s="115">
        <v>59</v>
      </c>
      <c r="B25" s="115" t="s">
        <v>272</v>
      </c>
      <c r="D25" s="115" t="s">
        <v>255</v>
      </c>
      <c r="E25" s="3" t="s">
        <v>127</v>
      </c>
      <c r="G25" t="s">
        <v>292</v>
      </c>
      <c r="I25" s="3" t="s">
        <v>323</v>
      </c>
      <c r="J25" t="s">
        <v>265</v>
      </c>
    </row>
    <row r="26" spans="1:10">
      <c r="A26" s="115">
        <v>74</v>
      </c>
      <c r="B26" t="s">
        <v>229</v>
      </c>
      <c r="D26" s="115" t="s">
        <v>230</v>
      </c>
      <c r="F26" s="3" t="s">
        <v>127</v>
      </c>
      <c r="G26" t="s">
        <v>337</v>
      </c>
      <c r="I26" s="3" t="s">
        <v>300</v>
      </c>
      <c r="J26" t="s">
        <v>239</v>
      </c>
    </row>
    <row r="27" spans="1:10">
      <c r="A27" s="115">
        <v>7</v>
      </c>
      <c r="B27" t="s">
        <v>146</v>
      </c>
      <c r="C27" s="115" t="s">
        <v>149</v>
      </c>
      <c r="D27" s="115" t="s">
        <v>223</v>
      </c>
      <c r="F27" s="3" t="s">
        <v>127</v>
      </c>
      <c r="G27" t="s">
        <v>324</v>
      </c>
      <c r="H27" t="s">
        <v>219</v>
      </c>
      <c r="I27" s="3" t="s">
        <v>128</v>
      </c>
      <c r="J27" s="3" t="s">
        <v>245</v>
      </c>
    </row>
    <row r="28" spans="1:10">
      <c r="A28" s="115">
        <v>67</v>
      </c>
      <c r="B28" t="s">
        <v>223</v>
      </c>
      <c r="D28" s="115" t="s">
        <v>146</v>
      </c>
      <c r="F28" s="3" t="s">
        <v>127</v>
      </c>
      <c r="G28" t="s">
        <v>331</v>
      </c>
      <c r="I28" s="3" t="s">
        <v>128</v>
      </c>
      <c r="J28" t="s">
        <v>239</v>
      </c>
    </row>
    <row r="29" spans="1:10">
      <c r="A29" s="115">
        <v>8</v>
      </c>
      <c r="B29" t="s">
        <v>90</v>
      </c>
      <c r="C29" s="115" t="s">
        <v>152</v>
      </c>
      <c r="F29" s="3" t="s">
        <v>127</v>
      </c>
      <c r="G29" t="s">
        <v>324</v>
      </c>
      <c r="H29" t="s">
        <v>220</v>
      </c>
      <c r="I29" s="3" t="s">
        <v>128</v>
      </c>
      <c r="J29" s="3" t="s">
        <v>245</v>
      </c>
    </row>
    <row r="30" spans="1:10">
      <c r="A30" s="115">
        <v>9</v>
      </c>
      <c r="B30" t="s">
        <v>86</v>
      </c>
      <c r="C30" s="115" t="s">
        <v>155</v>
      </c>
      <c r="D30" s="115" t="s">
        <v>225</v>
      </c>
      <c r="F30" s="3" t="s">
        <v>127</v>
      </c>
      <c r="G30" t="s">
        <v>325</v>
      </c>
      <c r="H30" t="s">
        <v>154</v>
      </c>
      <c r="I30" s="3" t="s">
        <v>300</v>
      </c>
      <c r="J30" s="3" t="s">
        <v>245</v>
      </c>
    </row>
    <row r="31" spans="1:10">
      <c r="A31" s="115">
        <v>69</v>
      </c>
      <c r="B31" t="s">
        <v>225</v>
      </c>
      <c r="D31" s="115" t="s">
        <v>86</v>
      </c>
      <c r="F31" s="3" t="s">
        <v>127</v>
      </c>
      <c r="G31" t="s">
        <v>333</v>
      </c>
      <c r="I31" s="3" t="s">
        <v>300</v>
      </c>
      <c r="J31" t="s">
        <v>239</v>
      </c>
    </row>
    <row r="32" spans="1:10">
      <c r="A32" s="115">
        <v>77</v>
      </c>
      <c r="B32" t="s">
        <v>232</v>
      </c>
      <c r="D32" s="115" t="s">
        <v>231</v>
      </c>
      <c r="F32" s="3" t="s">
        <v>127</v>
      </c>
      <c r="G32" t="s">
        <v>333</v>
      </c>
      <c r="I32" s="3" t="s">
        <v>300</v>
      </c>
      <c r="J32" t="s">
        <v>239</v>
      </c>
    </row>
    <row r="33" spans="1:10">
      <c r="A33" s="115">
        <v>10</v>
      </c>
      <c r="B33" t="s">
        <v>88</v>
      </c>
      <c r="C33" s="115" t="s">
        <v>88</v>
      </c>
      <c r="E33" s="3" t="s">
        <v>127</v>
      </c>
      <c r="G33" t="s">
        <v>306</v>
      </c>
      <c r="H33" t="s">
        <v>157</v>
      </c>
      <c r="I33" s="3" t="s">
        <v>300</v>
      </c>
      <c r="J33" s="3" t="s">
        <v>245</v>
      </c>
    </row>
    <row r="34" spans="1:10">
      <c r="A34" s="115">
        <v>42</v>
      </c>
      <c r="B34" t="s">
        <v>257</v>
      </c>
      <c r="D34" s="115" t="s">
        <v>88</v>
      </c>
      <c r="E34" s="3" t="s">
        <v>127</v>
      </c>
      <c r="G34" t="s">
        <v>294</v>
      </c>
      <c r="I34" s="3" t="s">
        <v>300</v>
      </c>
      <c r="J34" t="s">
        <v>277</v>
      </c>
    </row>
    <row r="35" spans="1:10">
      <c r="A35" s="115">
        <v>61</v>
      </c>
      <c r="B35" s="115" t="s">
        <v>88</v>
      </c>
      <c r="D35" s="115" t="s">
        <v>257</v>
      </c>
      <c r="E35" s="3" t="s">
        <v>127</v>
      </c>
      <c r="G35" t="s">
        <v>294</v>
      </c>
      <c r="I35" s="3" t="s">
        <v>300</v>
      </c>
      <c r="J35" t="s">
        <v>265</v>
      </c>
    </row>
    <row r="36" spans="1:10">
      <c r="A36" s="115">
        <v>26</v>
      </c>
      <c r="B36" t="s">
        <v>242</v>
      </c>
      <c r="D36" s="115" t="s">
        <v>85</v>
      </c>
      <c r="E36" s="3" t="s">
        <v>127</v>
      </c>
      <c r="G36" t="s">
        <v>278</v>
      </c>
      <c r="I36" s="3" t="s">
        <v>300</v>
      </c>
      <c r="J36" t="s">
        <v>277</v>
      </c>
    </row>
    <row r="37" spans="1:10">
      <c r="A37" s="115">
        <v>46</v>
      </c>
      <c r="B37" s="115" t="s">
        <v>85</v>
      </c>
      <c r="D37" s="115" t="s">
        <v>242</v>
      </c>
      <c r="E37" s="3" t="s">
        <v>127</v>
      </c>
      <c r="G37" t="s">
        <v>278</v>
      </c>
      <c r="I37" s="3" t="s">
        <v>300</v>
      </c>
      <c r="J37" t="s">
        <v>265</v>
      </c>
    </row>
    <row r="38" spans="1:10">
      <c r="A38" s="115">
        <v>11</v>
      </c>
      <c r="B38" t="s">
        <v>82</v>
      </c>
      <c r="C38" s="115" t="s">
        <v>82</v>
      </c>
      <c r="E38" s="3" t="s">
        <v>127</v>
      </c>
      <c r="G38" t="s">
        <v>307</v>
      </c>
      <c r="H38" t="s">
        <v>159</v>
      </c>
      <c r="I38" s="3" t="s">
        <v>138</v>
      </c>
      <c r="J38" s="3" t="s">
        <v>245</v>
      </c>
    </row>
    <row r="39" spans="1:10">
      <c r="A39" s="115">
        <v>75</v>
      </c>
      <c r="B39" t="s">
        <v>230</v>
      </c>
      <c r="D39" s="115" t="s">
        <v>229</v>
      </c>
      <c r="F39" s="3" t="s">
        <v>127</v>
      </c>
      <c r="G39" t="s">
        <v>337</v>
      </c>
      <c r="I39" s="3" t="s">
        <v>300</v>
      </c>
      <c r="J39" t="s">
        <v>239</v>
      </c>
    </row>
    <row r="40" spans="1:10">
      <c r="A40" s="115">
        <v>38</v>
      </c>
      <c r="B40" t="s">
        <v>253</v>
      </c>
      <c r="D40" s="115" t="s">
        <v>91</v>
      </c>
      <c r="E40" s="3" t="s">
        <v>127</v>
      </c>
      <c r="G40" t="s">
        <v>290</v>
      </c>
      <c r="I40" s="3" t="s">
        <v>300</v>
      </c>
      <c r="J40" t="s">
        <v>277</v>
      </c>
    </row>
    <row r="41" spans="1:10">
      <c r="A41" s="115">
        <v>60</v>
      </c>
      <c r="B41" s="115" t="s">
        <v>273</v>
      </c>
      <c r="D41" s="115" t="s">
        <v>256</v>
      </c>
      <c r="E41" s="3" t="s">
        <v>127</v>
      </c>
      <c r="G41" t="s">
        <v>293</v>
      </c>
      <c r="I41" s="3" t="s">
        <v>321</v>
      </c>
      <c r="J41" t="s">
        <v>265</v>
      </c>
    </row>
    <row r="42" spans="1:10">
      <c r="A42" s="115">
        <v>34</v>
      </c>
      <c r="B42" t="s">
        <v>250</v>
      </c>
      <c r="D42" s="115" t="s">
        <v>264</v>
      </c>
      <c r="E42" s="3" t="s">
        <v>127</v>
      </c>
      <c r="G42" t="s">
        <v>286</v>
      </c>
      <c r="I42" s="3" t="s">
        <v>321</v>
      </c>
      <c r="J42" t="s">
        <v>277</v>
      </c>
    </row>
    <row r="43" spans="1:10">
      <c r="A43" s="115">
        <v>53</v>
      </c>
      <c r="B43" s="115" t="s">
        <v>264</v>
      </c>
      <c r="D43" s="115" t="s">
        <v>250</v>
      </c>
      <c r="E43" s="3" t="s">
        <v>127</v>
      </c>
      <c r="G43" t="s">
        <v>286</v>
      </c>
      <c r="I43" s="3" t="s">
        <v>321</v>
      </c>
      <c r="J43" t="s">
        <v>265</v>
      </c>
    </row>
    <row r="44" spans="1:10">
      <c r="A44" s="115">
        <v>41</v>
      </c>
      <c r="B44" t="s">
        <v>256</v>
      </c>
      <c r="D44" s="115" t="s">
        <v>273</v>
      </c>
      <c r="E44" s="3" t="s">
        <v>127</v>
      </c>
      <c r="G44" t="s">
        <v>293</v>
      </c>
      <c r="I44" s="3" t="s">
        <v>321</v>
      </c>
      <c r="J44" t="s">
        <v>277</v>
      </c>
    </row>
    <row r="45" spans="1:10">
      <c r="A45" s="115">
        <v>33</v>
      </c>
      <c r="B45" t="s">
        <v>249</v>
      </c>
      <c r="D45" s="115" t="s">
        <v>263</v>
      </c>
      <c r="E45" s="3" t="s">
        <v>127</v>
      </c>
      <c r="G45" t="s">
        <v>285</v>
      </c>
      <c r="I45" s="3" t="s">
        <v>321</v>
      </c>
      <c r="J45" t="s">
        <v>277</v>
      </c>
    </row>
    <row r="46" spans="1:10">
      <c r="A46" s="115">
        <v>52</v>
      </c>
      <c r="B46" s="115" t="s">
        <v>263</v>
      </c>
      <c r="D46" s="115" t="s">
        <v>249</v>
      </c>
      <c r="E46" s="3" t="s">
        <v>127</v>
      </c>
      <c r="G46" t="s">
        <v>285</v>
      </c>
      <c r="I46" s="3" t="s">
        <v>321</v>
      </c>
      <c r="J46" t="s">
        <v>265</v>
      </c>
    </row>
    <row r="47" spans="1:10">
      <c r="A47" s="115">
        <v>32</v>
      </c>
      <c r="B47" t="s">
        <v>248</v>
      </c>
      <c r="D47" s="115" t="s">
        <v>262</v>
      </c>
      <c r="E47" s="3" t="s">
        <v>127</v>
      </c>
      <c r="G47" t="s">
        <v>284</v>
      </c>
      <c r="I47" s="3" t="s">
        <v>128</v>
      </c>
      <c r="J47" t="s">
        <v>277</v>
      </c>
    </row>
    <row r="48" spans="1:10">
      <c r="A48" s="115">
        <v>51</v>
      </c>
      <c r="B48" s="115" t="s">
        <v>262</v>
      </c>
      <c r="D48" s="115" t="s">
        <v>248</v>
      </c>
      <c r="E48" s="3" t="s">
        <v>127</v>
      </c>
      <c r="G48" t="s">
        <v>284</v>
      </c>
      <c r="I48" s="3" t="s">
        <v>128</v>
      </c>
      <c r="J48" t="s">
        <v>265</v>
      </c>
    </row>
    <row r="49" spans="1:10">
      <c r="A49" s="115">
        <v>39</v>
      </c>
      <c r="B49" t="s">
        <v>254</v>
      </c>
      <c r="D49" s="115" t="s">
        <v>271</v>
      </c>
      <c r="E49" s="3" t="s">
        <v>127</v>
      </c>
      <c r="G49" t="s">
        <v>291</v>
      </c>
      <c r="I49" s="3" t="s">
        <v>322</v>
      </c>
      <c r="J49" t="s">
        <v>277</v>
      </c>
    </row>
    <row r="50" spans="1:10">
      <c r="A50" s="115">
        <v>58</v>
      </c>
      <c r="B50" s="115" t="s">
        <v>271</v>
      </c>
      <c r="D50" s="115" t="s">
        <v>254</v>
      </c>
      <c r="E50" s="3" t="s">
        <v>127</v>
      </c>
      <c r="G50" t="s">
        <v>291</v>
      </c>
      <c r="I50" s="3" t="s">
        <v>322</v>
      </c>
      <c r="J50" t="s">
        <v>265</v>
      </c>
    </row>
    <row r="51" spans="1:10">
      <c r="A51" s="115">
        <v>12</v>
      </c>
      <c r="B51" t="s">
        <v>89</v>
      </c>
      <c r="C51" s="115" t="s">
        <v>89</v>
      </c>
      <c r="E51" s="3" t="s">
        <v>162</v>
      </c>
      <c r="F51" s="3" t="s">
        <v>162</v>
      </c>
      <c r="G51" t="s">
        <v>308</v>
      </c>
      <c r="H51" t="s">
        <v>161</v>
      </c>
      <c r="I51" s="3" t="s">
        <v>300</v>
      </c>
      <c r="J51" s="3" t="s">
        <v>245</v>
      </c>
    </row>
    <row r="52" spans="1:10">
      <c r="A52" s="115">
        <v>27</v>
      </c>
      <c r="B52" t="s">
        <v>243</v>
      </c>
      <c r="E52" s="3" t="s">
        <v>162</v>
      </c>
      <c r="F52" s="3" t="s">
        <v>162</v>
      </c>
      <c r="G52" t="s">
        <v>279</v>
      </c>
      <c r="I52" s="3" t="s">
        <v>300</v>
      </c>
      <c r="J52" t="s">
        <v>277</v>
      </c>
    </row>
    <row r="53" spans="1:10">
      <c r="A53" s="115">
        <v>13</v>
      </c>
      <c r="B53" t="s">
        <v>84</v>
      </c>
      <c r="C53" s="115" t="s">
        <v>166</v>
      </c>
      <c r="F53" s="3" t="s">
        <v>127</v>
      </c>
      <c r="G53" t="s">
        <v>309</v>
      </c>
      <c r="H53" t="s">
        <v>165</v>
      </c>
      <c r="I53" s="3" t="s">
        <v>138</v>
      </c>
      <c r="J53" s="3" t="s">
        <v>245</v>
      </c>
    </row>
    <row r="54" spans="1:10">
      <c r="A54" s="115">
        <v>14</v>
      </c>
      <c r="B54" t="s">
        <v>104</v>
      </c>
      <c r="C54" s="115" t="s">
        <v>169</v>
      </c>
      <c r="F54" s="3" t="s">
        <v>127</v>
      </c>
      <c r="G54" t="s">
        <v>310</v>
      </c>
      <c r="H54" t="s">
        <v>168</v>
      </c>
      <c r="I54" s="3" t="s">
        <v>138</v>
      </c>
      <c r="J54" s="3" t="s">
        <v>245</v>
      </c>
    </row>
    <row r="55" spans="1:10">
      <c r="A55" s="115">
        <v>15</v>
      </c>
      <c r="B55" t="s">
        <v>87</v>
      </c>
      <c r="C55" s="115" t="s">
        <v>172</v>
      </c>
      <c r="F55" s="3" t="s">
        <v>127</v>
      </c>
      <c r="G55" t="s">
        <v>311</v>
      </c>
      <c r="H55" t="s">
        <v>171</v>
      </c>
      <c r="I55" s="3" t="s">
        <v>138</v>
      </c>
      <c r="J55" s="3" t="s">
        <v>245</v>
      </c>
    </row>
    <row r="56" spans="1:10">
      <c r="A56" s="115">
        <v>16</v>
      </c>
      <c r="B56" t="s">
        <v>173</v>
      </c>
      <c r="C56" s="115" t="s">
        <v>17</v>
      </c>
      <c r="F56" s="3" t="s">
        <v>127</v>
      </c>
      <c r="G56" t="s">
        <v>312</v>
      </c>
      <c r="H56" t="s">
        <v>175</v>
      </c>
      <c r="I56" s="3" t="s">
        <v>138</v>
      </c>
      <c r="J56" s="3" t="s">
        <v>245</v>
      </c>
    </row>
    <row r="57" spans="1:10">
      <c r="A57" s="115">
        <v>17</v>
      </c>
      <c r="B57" t="s">
        <v>101</v>
      </c>
      <c r="C57" s="115" t="s">
        <v>5</v>
      </c>
      <c r="F57" s="3" t="s">
        <v>127</v>
      </c>
      <c r="G57" t="s">
        <v>313</v>
      </c>
      <c r="H57" t="s">
        <v>177</v>
      </c>
      <c r="I57" s="3" t="s">
        <v>138</v>
      </c>
      <c r="J57" s="3" t="s">
        <v>245</v>
      </c>
    </row>
    <row r="58" spans="1:10">
      <c r="A58" s="115">
        <v>18</v>
      </c>
      <c r="B58" t="s">
        <v>105</v>
      </c>
      <c r="C58" s="115" t="s">
        <v>105</v>
      </c>
      <c r="E58" s="3" t="s">
        <v>127</v>
      </c>
      <c r="G58" t="s">
        <v>314</v>
      </c>
      <c r="H58" t="s">
        <v>178</v>
      </c>
      <c r="I58" s="3" t="s">
        <v>300</v>
      </c>
      <c r="J58" s="3" t="s">
        <v>245</v>
      </c>
    </row>
    <row r="59" spans="1:10">
      <c r="A59" s="115">
        <v>50</v>
      </c>
      <c r="B59" s="115" t="s">
        <v>261</v>
      </c>
      <c r="D59" s="115" t="s">
        <v>267</v>
      </c>
      <c r="E59" s="3" t="s">
        <v>127</v>
      </c>
      <c r="G59" t="s">
        <v>283</v>
      </c>
      <c r="I59" s="3" t="s">
        <v>300</v>
      </c>
      <c r="J59" t="s">
        <v>265</v>
      </c>
    </row>
    <row r="60" spans="1:10">
      <c r="A60" s="115">
        <v>31</v>
      </c>
      <c r="B60" t="s">
        <v>267</v>
      </c>
      <c r="D60" s="115" t="s">
        <v>261</v>
      </c>
      <c r="E60" s="3" t="s">
        <v>127</v>
      </c>
      <c r="G60" t="s">
        <v>283</v>
      </c>
      <c r="I60" s="3" t="s">
        <v>300</v>
      </c>
      <c r="J60" t="s">
        <v>277</v>
      </c>
    </row>
    <row r="61" spans="1:10">
      <c r="A61" s="115">
        <v>30</v>
      </c>
      <c r="B61" t="s">
        <v>266</v>
      </c>
      <c r="D61" s="115" t="s">
        <v>103</v>
      </c>
      <c r="E61" s="3" t="s">
        <v>127</v>
      </c>
      <c r="G61" t="s">
        <v>282</v>
      </c>
      <c r="I61" s="3" t="s">
        <v>300</v>
      </c>
      <c r="J61" t="s">
        <v>277</v>
      </c>
    </row>
    <row r="62" spans="1:10">
      <c r="A62" s="115">
        <v>19</v>
      </c>
      <c r="B62" t="s">
        <v>180</v>
      </c>
      <c r="C62" s="115" t="s">
        <v>183</v>
      </c>
      <c r="D62" s="115" t="s">
        <v>224</v>
      </c>
      <c r="F62" s="3" t="s">
        <v>127</v>
      </c>
      <c r="G62" t="s">
        <v>320</v>
      </c>
      <c r="H62" t="s">
        <v>218</v>
      </c>
      <c r="I62" s="3" t="s">
        <v>128</v>
      </c>
      <c r="J62" s="3" t="s">
        <v>245</v>
      </c>
    </row>
    <row r="63" spans="1:10">
      <c r="A63" s="115">
        <v>20</v>
      </c>
      <c r="B63" t="s">
        <v>100</v>
      </c>
      <c r="C63" s="115" t="s">
        <v>185</v>
      </c>
      <c r="F63" s="3" t="s">
        <v>127</v>
      </c>
      <c r="G63" t="s">
        <v>327</v>
      </c>
      <c r="H63" t="s">
        <v>217</v>
      </c>
      <c r="I63" s="3" t="s">
        <v>128</v>
      </c>
      <c r="J63" s="3" t="s">
        <v>245</v>
      </c>
    </row>
    <row r="64" spans="1:10">
      <c r="A64" s="115">
        <v>35</v>
      </c>
      <c r="B64" t="s">
        <v>251</v>
      </c>
      <c r="D64" s="115" t="s">
        <v>268</v>
      </c>
      <c r="E64" s="3" t="s">
        <v>127</v>
      </c>
      <c r="G64" t="s">
        <v>287</v>
      </c>
      <c r="I64" s="3" t="s">
        <v>300</v>
      </c>
      <c r="J64" t="s">
        <v>277</v>
      </c>
    </row>
    <row r="65" spans="1:10">
      <c r="A65" s="115">
        <v>36</v>
      </c>
      <c r="B65" t="s">
        <v>299</v>
      </c>
      <c r="D65" s="115" t="s">
        <v>269</v>
      </c>
      <c r="E65" s="3" t="s">
        <v>127</v>
      </c>
      <c r="G65" t="s">
        <v>288</v>
      </c>
      <c r="I65" s="3" t="s">
        <v>300</v>
      </c>
      <c r="J65" t="s">
        <v>277</v>
      </c>
    </row>
    <row r="66" spans="1:10">
      <c r="A66" s="115">
        <v>21</v>
      </c>
      <c r="B66" t="s">
        <v>106</v>
      </c>
      <c r="C66" s="115" t="s">
        <v>188</v>
      </c>
      <c r="F66" s="3" t="s">
        <v>127</v>
      </c>
      <c r="G66" t="s">
        <v>328</v>
      </c>
      <c r="H66" t="s">
        <v>187</v>
      </c>
      <c r="I66" s="3" t="s">
        <v>300</v>
      </c>
      <c r="J66" s="3" t="s">
        <v>245</v>
      </c>
    </row>
    <row r="67" spans="1:10">
      <c r="A67" s="115">
        <v>63</v>
      </c>
      <c r="B67" s="115" t="s">
        <v>275</v>
      </c>
      <c r="D67" s="115" t="s">
        <v>259</v>
      </c>
      <c r="E67" s="3" t="s">
        <v>127</v>
      </c>
      <c r="G67" t="s">
        <v>296</v>
      </c>
      <c r="I67" s="3" t="s">
        <v>322</v>
      </c>
      <c r="J67" t="s">
        <v>265</v>
      </c>
    </row>
    <row r="68" spans="1:10">
      <c r="A68" s="115">
        <v>22</v>
      </c>
      <c r="B68" t="s">
        <v>103</v>
      </c>
      <c r="C68" s="115" t="s">
        <v>103</v>
      </c>
      <c r="E68" s="3" t="s">
        <v>127</v>
      </c>
      <c r="G68" t="s">
        <v>315</v>
      </c>
      <c r="H68" t="s">
        <v>189</v>
      </c>
      <c r="I68" s="3" t="s">
        <v>300</v>
      </c>
      <c r="J68" s="3" t="s">
        <v>245</v>
      </c>
    </row>
    <row r="69" spans="1:10">
      <c r="A69" s="115">
        <v>49</v>
      </c>
      <c r="B69" s="115" t="s">
        <v>103</v>
      </c>
      <c r="D69" s="115" t="s">
        <v>266</v>
      </c>
      <c r="E69" s="3" t="s">
        <v>127</v>
      </c>
      <c r="G69" t="s">
        <v>282</v>
      </c>
      <c r="I69" s="3" t="s">
        <v>300</v>
      </c>
      <c r="J69" t="s">
        <v>265</v>
      </c>
    </row>
    <row r="70" spans="1:10">
      <c r="A70" s="115">
        <v>23</v>
      </c>
      <c r="B70" t="s">
        <v>107</v>
      </c>
      <c r="C70" s="115" t="s">
        <v>107</v>
      </c>
      <c r="E70" s="3" t="s">
        <v>127</v>
      </c>
      <c r="G70" t="s">
        <v>316</v>
      </c>
      <c r="H70" t="s">
        <v>192</v>
      </c>
      <c r="I70" s="3" t="s">
        <v>300</v>
      </c>
      <c r="J70" s="3" t="s">
        <v>245</v>
      </c>
    </row>
    <row r="71" spans="1:10">
      <c r="A71" s="115">
        <v>28</v>
      </c>
      <c r="B71" t="s">
        <v>246</v>
      </c>
      <c r="D71" s="115" t="s">
        <v>107</v>
      </c>
      <c r="E71" s="3" t="s">
        <v>127</v>
      </c>
      <c r="G71" t="s">
        <v>280</v>
      </c>
      <c r="I71" s="3" t="s">
        <v>300</v>
      </c>
      <c r="J71" t="s">
        <v>277</v>
      </c>
    </row>
    <row r="72" spans="1:10">
      <c r="A72" s="115">
        <v>47</v>
      </c>
      <c r="B72" s="115" t="s">
        <v>107</v>
      </c>
      <c r="D72" s="115" t="s">
        <v>246</v>
      </c>
      <c r="E72" s="3" t="s">
        <v>127</v>
      </c>
      <c r="G72" t="s">
        <v>280</v>
      </c>
      <c r="I72" s="3" t="s">
        <v>300</v>
      </c>
      <c r="J72" t="s">
        <v>265</v>
      </c>
    </row>
    <row r="73" spans="1:10">
      <c r="A73" s="115">
        <v>24</v>
      </c>
      <c r="B73" t="s">
        <v>108</v>
      </c>
      <c r="C73" s="115" t="s">
        <v>108</v>
      </c>
      <c r="E73" s="3" t="s">
        <v>127</v>
      </c>
      <c r="G73" t="s">
        <v>317</v>
      </c>
      <c r="H73" t="s">
        <v>194</v>
      </c>
      <c r="I73" s="3" t="s">
        <v>300</v>
      </c>
      <c r="J73" s="3" t="s">
        <v>245</v>
      </c>
    </row>
    <row r="74" spans="1:10">
      <c r="A74" s="115">
        <v>43</v>
      </c>
      <c r="B74" t="s">
        <v>258</v>
      </c>
      <c r="D74" s="115" t="s">
        <v>274</v>
      </c>
      <c r="E74" s="3" t="s">
        <v>127</v>
      </c>
      <c r="G74" t="s">
        <v>295</v>
      </c>
      <c r="I74" s="3" t="s">
        <v>138</v>
      </c>
      <c r="J74" t="s">
        <v>277</v>
      </c>
    </row>
    <row r="75" spans="1:10">
      <c r="A75" s="115">
        <v>62</v>
      </c>
      <c r="B75" s="115" t="s">
        <v>274</v>
      </c>
      <c r="D75" s="115" t="s">
        <v>258</v>
      </c>
      <c r="E75" s="3" t="s">
        <v>127</v>
      </c>
      <c r="G75" t="s">
        <v>295</v>
      </c>
      <c r="I75" s="3" t="s">
        <v>138</v>
      </c>
      <c r="J75" t="s">
        <v>265</v>
      </c>
    </row>
    <row r="76" spans="1:10">
      <c r="A76" s="115">
        <v>44</v>
      </c>
      <c r="B76" t="s">
        <v>259</v>
      </c>
      <c r="D76" s="115" t="s">
        <v>275</v>
      </c>
      <c r="E76" s="3" t="s">
        <v>127</v>
      </c>
      <c r="G76" t="s">
        <v>296</v>
      </c>
      <c r="I76" s="3" t="s">
        <v>322</v>
      </c>
      <c r="J76" t="s">
        <v>277</v>
      </c>
    </row>
    <row r="77" spans="1:10">
      <c r="A77" s="115">
        <v>54</v>
      </c>
      <c r="B77" s="115" t="s">
        <v>268</v>
      </c>
      <c r="D77" s="115" t="s">
        <v>251</v>
      </c>
      <c r="E77" s="3" t="s">
        <v>127</v>
      </c>
      <c r="G77" t="s">
        <v>287</v>
      </c>
      <c r="I77" s="3" t="s">
        <v>300</v>
      </c>
      <c r="J77" t="s">
        <v>265</v>
      </c>
    </row>
    <row r="78" spans="1:10">
      <c r="A78" s="115">
        <v>55</v>
      </c>
      <c r="B78" s="115" t="s">
        <v>269</v>
      </c>
      <c r="D78" s="115" t="s">
        <v>299</v>
      </c>
      <c r="E78" s="3" t="s">
        <v>127</v>
      </c>
      <c r="G78" t="s">
        <v>288</v>
      </c>
      <c r="I78" s="3" t="s">
        <v>300</v>
      </c>
      <c r="J78" t="s">
        <v>265</v>
      </c>
    </row>
    <row r="79" spans="1:10">
      <c r="A79" s="115">
        <v>37</v>
      </c>
      <c r="B79" t="s">
        <v>252</v>
      </c>
      <c r="D79" s="115" t="s">
        <v>270</v>
      </c>
      <c r="E79" s="3" t="s">
        <v>127</v>
      </c>
      <c r="G79" t="s">
        <v>289</v>
      </c>
      <c r="I79" s="3" t="s">
        <v>322</v>
      </c>
      <c r="J79" t="s">
        <v>277</v>
      </c>
    </row>
    <row r="80" spans="1:10">
      <c r="A80" s="115">
        <v>56</v>
      </c>
      <c r="B80" s="115" t="s">
        <v>270</v>
      </c>
      <c r="D80" s="115" t="s">
        <v>252</v>
      </c>
      <c r="E80" s="3" t="s">
        <v>127</v>
      </c>
      <c r="G80" t="s">
        <v>289</v>
      </c>
      <c r="I80" s="3" t="s">
        <v>322</v>
      </c>
      <c r="J80" t="s">
        <v>265</v>
      </c>
    </row>
    <row r="81" spans="1:10">
      <c r="A81" s="115">
        <v>25</v>
      </c>
      <c r="B81" t="s">
        <v>99</v>
      </c>
      <c r="C81" s="115" t="s">
        <v>99</v>
      </c>
      <c r="E81" s="3" t="s">
        <v>127</v>
      </c>
      <c r="G81" t="s">
        <v>318</v>
      </c>
      <c r="H81" t="s">
        <v>319</v>
      </c>
      <c r="I81" s="3" t="s">
        <v>300</v>
      </c>
      <c r="J81" s="3" t="s">
        <v>245</v>
      </c>
    </row>
    <row r="82" spans="1:10">
      <c r="A82" s="115">
        <v>29</v>
      </c>
      <c r="B82" t="s">
        <v>247</v>
      </c>
      <c r="D82" s="115" t="s">
        <v>99</v>
      </c>
      <c r="E82" s="3" t="s">
        <v>127</v>
      </c>
      <c r="G82" t="s">
        <v>281</v>
      </c>
      <c r="I82" s="3" t="s">
        <v>300</v>
      </c>
      <c r="J82" t="s">
        <v>277</v>
      </c>
    </row>
    <row r="83" spans="1:10">
      <c r="A83" s="115">
        <v>48</v>
      </c>
      <c r="B83" s="115" t="s">
        <v>99</v>
      </c>
      <c r="D83" s="115" t="s">
        <v>247</v>
      </c>
      <c r="E83" s="3" t="s">
        <v>127</v>
      </c>
      <c r="G83" t="s">
        <v>281</v>
      </c>
      <c r="I83" s="3" t="s">
        <v>300</v>
      </c>
      <c r="J83" t="s">
        <v>265</v>
      </c>
    </row>
    <row r="84" spans="1:10">
      <c r="A84" s="115">
        <v>45</v>
      </c>
      <c r="B84" t="s">
        <v>260</v>
      </c>
      <c r="D84" s="115" t="s">
        <v>276</v>
      </c>
      <c r="E84" s="3" t="s">
        <v>127</v>
      </c>
      <c r="G84" t="s">
        <v>297</v>
      </c>
      <c r="I84" s="3" t="s">
        <v>300</v>
      </c>
      <c r="J84" t="s">
        <v>277</v>
      </c>
    </row>
    <row r="85" spans="1:10">
      <c r="A85" s="115">
        <v>64</v>
      </c>
      <c r="B85" s="115" t="s">
        <v>276</v>
      </c>
      <c r="D85" s="115" t="s">
        <v>260</v>
      </c>
      <c r="E85" s="3" t="s">
        <v>127</v>
      </c>
      <c r="G85" t="s">
        <v>297</v>
      </c>
      <c r="I85" s="3" t="s">
        <v>300</v>
      </c>
      <c r="J85" t="s">
        <v>265</v>
      </c>
    </row>
  </sheetData>
  <phoneticPr fontId="0" type="noConversion"/>
  <printOptions gridLines="1" gridLinesSet="0"/>
  <pageMargins left="0.78740157499999996" right="0.78740157499999996" top="0.79" bottom="0.73" header="0.4921259845" footer="0.4921259845"/>
  <pageSetup scale="85" fitToHeight="2" orientation="landscape" r:id="rId1"/>
  <headerFooter alignWithMargins="0"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showGridLines="0" workbookViewId="0">
      <selection activeCell="L18" sqref="L18"/>
    </sheetView>
  </sheetViews>
  <sheetFormatPr baseColWidth="10" defaultRowHeight="12.75"/>
  <cols>
    <col min="1" max="2" width="5" bestFit="1" customWidth="1"/>
    <col min="4" max="4" width="11.42578125" style="3"/>
  </cols>
  <sheetData>
    <row r="1" spans="1:8">
      <c r="C1" t="s">
        <v>514</v>
      </c>
    </row>
    <row r="3" spans="1:8">
      <c r="A3" t="s">
        <v>515</v>
      </c>
    </row>
    <row r="4" spans="1:8">
      <c r="A4" s="115" t="s">
        <v>576</v>
      </c>
    </row>
    <row r="5" spans="1:8">
      <c r="C5">
        <v>1</v>
      </c>
      <c r="D5" s="38" t="s">
        <v>263</v>
      </c>
      <c r="H5" s="159"/>
    </row>
    <row r="6" spans="1:8">
      <c r="D6" s="159"/>
      <c r="F6" s="185"/>
      <c r="G6" s="188"/>
      <c r="H6" s="160"/>
    </row>
    <row r="7" spans="1:8">
      <c r="D7" s="160"/>
      <c r="F7" s="186"/>
      <c r="G7" s="189"/>
      <c r="H7" s="160"/>
    </row>
    <row r="8" spans="1:8">
      <c r="D8" s="160"/>
      <c r="F8" s="186"/>
      <c r="G8" s="189"/>
      <c r="H8" s="160"/>
    </row>
    <row r="9" spans="1:8">
      <c r="D9" s="160"/>
      <c r="F9" s="186"/>
      <c r="G9" s="189"/>
      <c r="H9" s="160" t="s">
        <v>516</v>
      </c>
    </row>
    <row r="10" spans="1:8">
      <c r="D10" s="160"/>
      <c r="F10" s="186"/>
      <c r="G10" s="189"/>
      <c r="H10" s="160"/>
    </row>
    <row r="11" spans="1:8">
      <c r="C11">
        <v>16</v>
      </c>
      <c r="D11" s="160" t="s">
        <v>264</v>
      </c>
      <c r="F11" s="186"/>
      <c r="G11" s="189"/>
      <c r="H11" s="160"/>
    </row>
    <row r="12" spans="1:8">
      <c r="D12" s="160"/>
      <c r="F12" s="186"/>
      <c r="G12" s="189"/>
      <c r="H12" s="160"/>
    </row>
    <row r="13" spans="1:8">
      <c r="D13" s="160"/>
      <c r="F13" s="186"/>
      <c r="G13" s="189"/>
      <c r="H13" s="160"/>
    </row>
    <row r="14" spans="1:8">
      <c r="D14" s="160"/>
      <c r="F14" s="186"/>
      <c r="G14" s="189"/>
      <c r="H14" s="160"/>
    </row>
    <row r="15" spans="1:8">
      <c r="D15" s="160"/>
      <c r="F15" s="186"/>
      <c r="G15" s="189"/>
      <c r="H15" s="160"/>
    </row>
    <row r="16" spans="1:8">
      <c r="D16" s="160"/>
      <c r="F16" s="160" t="s">
        <v>517</v>
      </c>
      <c r="G16" s="189"/>
      <c r="H16" s="160"/>
    </row>
    <row r="17" spans="1:8">
      <c r="D17" s="160"/>
      <c r="F17" s="186"/>
      <c r="G17" s="189"/>
      <c r="H17" s="160"/>
    </row>
    <row r="18" spans="1:8">
      <c r="D18" s="160"/>
      <c r="F18" s="186"/>
      <c r="G18" s="189"/>
      <c r="H18" s="160"/>
    </row>
    <row r="19" spans="1:8">
      <c r="D19" s="160"/>
      <c r="F19" s="186"/>
      <c r="G19" s="189"/>
      <c r="H19" s="160"/>
    </row>
    <row r="20" spans="1:8">
      <c r="D20" s="53"/>
      <c r="F20" s="186"/>
      <c r="G20" s="189"/>
      <c r="H20" s="160"/>
    </row>
    <row r="21" spans="1:8">
      <c r="C21">
        <v>0.3</v>
      </c>
      <c r="D21" s="38" t="s">
        <v>518</v>
      </c>
      <c r="F21" s="186"/>
      <c r="G21" s="189"/>
      <c r="H21" s="160"/>
    </row>
    <row r="22" spans="1:8">
      <c r="C22">
        <v>1</v>
      </c>
      <c r="D22" s="159" t="s">
        <v>519</v>
      </c>
      <c r="F22" s="187"/>
      <c r="G22" s="189" t="s">
        <v>520</v>
      </c>
      <c r="H22" s="160"/>
    </row>
    <row r="23" spans="1:8">
      <c r="C23">
        <v>4</v>
      </c>
      <c r="D23" s="159"/>
      <c r="F23" s="159"/>
      <c r="G23" s="189"/>
      <c r="H23" s="160"/>
    </row>
    <row r="24" spans="1:8">
      <c r="D24" s="160" t="s">
        <v>521</v>
      </c>
      <c r="F24" s="160"/>
      <c r="G24" s="189"/>
      <c r="H24" s="160"/>
    </row>
    <row r="25" spans="1:8">
      <c r="D25" s="53"/>
      <c r="F25" s="160"/>
      <c r="G25" s="189"/>
      <c r="H25" s="160"/>
    </row>
    <row r="26" spans="1:8">
      <c r="C26">
        <v>0</v>
      </c>
      <c r="D26" s="161" t="s">
        <v>522</v>
      </c>
      <c r="F26" s="160"/>
      <c r="G26" s="189"/>
      <c r="H26" s="160"/>
    </row>
    <row r="27" spans="1:8">
      <c r="D27" s="159"/>
      <c r="F27" s="160" t="s">
        <v>523</v>
      </c>
      <c r="G27" s="189"/>
      <c r="H27" s="160"/>
    </row>
    <row r="28" spans="1:8">
      <c r="C28">
        <v>3</v>
      </c>
      <c r="D28" s="53" t="s">
        <v>524</v>
      </c>
      <c r="F28" s="160"/>
      <c r="G28" s="189"/>
      <c r="H28" s="160"/>
    </row>
    <row r="29" spans="1:8">
      <c r="A29" s="184" t="s">
        <v>575</v>
      </c>
      <c r="B29" s="184">
        <f>SUM(C5:C29)</f>
        <v>25.5</v>
      </c>
      <c r="C29" s="183">
        <v>0.2</v>
      </c>
      <c r="D29" s="38" t="s">
        <v>525</v>
      </c>
      <c r="F29" s="53"/>
      <c r="G29" s="182"/>
      <c r="H29" s="53"/>
    </row>
    <row r="30" spans="1:8">
      <c r="D30" s="159"/>
    </row>
    <row r="31" spans="1:8">
      <c r="D31" s="160"/>
    </row>
    <row r="32" spans="1:8">
      <c r="D32" s="160"/>
      <c r="F32" s="162" t="s">
        <v>526</v>
      </c>
    </row>
    <row r="33" spans="3:7">
      <c r="D33" s="160"/>
      <c r="F33" t="s">
        <v>263</v>
      </c>
      <c r="G33" t="s">
        <v>527</v>
      </c>
    </row>
    <row r="34" spans="3:7">
      <c r="D34" s="160"/>
      <c r="F34" t="s">
        <v>264</v>
      </c>
      <c r="G34" t="s">
        <v>528</v>
      </c>
    </row>
    <row r="35" spans="3:7">
      <c r="D35" s="160"/>
      <c r="F35" t="s">
        <v>273</v>
      </c>
      <c r="G35" t="s">
        <v>529</v>
      </c>
    </row>
    <row r="36" spans="3:7">
      <c r="D36" s="160"/>
    </row>
    <row r="37" spans="3:7">
      <c r="C37">
        <v>15</v>
      </c>
      <c r="D37" s="160" t="s">
        <v>273</v>
      </c>
      <c r="F37" t="s">
        <v>530</v>
      </c>
      <c r="G37" t="s">
        <v>531</v>
      </c>
    </row>
    <row r="38" spans="3:7">
      <c r="D38" s="160"/>
      <c r="F38" t="s">
        <v>532</v>
      </c>
      <c r="G38" t="s">
        <v>533</v>
      </c>
    </row>
    <row r="39" spans="3:7">
      <c r="D39" s="160"/>
    </row>
    <row r="40" spans="3:7">
      <c r="D40" s="160"/>
    </row>
    <row r="41" spans="3:7">
      <c r="D41" s="160"/>
    </row>
    <row r="42" spans="3:7">
      <c r="D42" s="53"/>
    </row>
  </sheetData>
  <pageMargins left="0.78740157499999996" right="0.78740157499999996" top="0.984251969" bottom="0.984251969" header="0.4921259845" footer="0.4921259845"/>
  <pageSetup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I43"/>
  <sheetViews>
    <sheetView showGridLines="0" topLeftCell="A13" workbookViewId="0">
      <selection activeCell="N25" sqref="N25"/>
    </sheetView>
  </sheetViews>
  <sheetFormatPr baseColWidth="10" defaultRowHeight="12.75"/>
  <cols>
    <col min="3" max="3" width="11.42578125" style="3"/>
    <col min="4" max="4" width="5.5703125" customWidth="1"/>
    <col min="7" max="7" width="7.42578125" customWidth="1"/>
    <col min="8" max="8" width="6" bestFit="1" customWidth="1"/>
  </cols>
  <sheetData>
    <row r="4" spans="1:6">
      <c r="A4" s="115" t="s">
        <v>515</v>
      </c>
    </row>
    <row r="5" spans="1:6">
      <c r="A5" s="115" t="s">
        <v>576</v>
      </c>
    </row>
    <row r="6" spans="1:6">
      <c r="C6" s="159"/>
      <c r="E6" s="159"/>
      <c r="F6" s="159"/>
    </row>
    <row r="7" spans="1:6">
      <c r="C7" s="160"/>
      <c r="E7" s="160"/>
      <c r="F7" s="160"/>
    </row>
    <row r="8" spans="1:6">
      <c r="C8" s="160"/>
      <c r="E8" s="160"/>
      <c r="F8" s="160"/>
    </row>
    <row r="9" spans="1:6">
      <c r="C9" s="160"/>
      <c r="E9" s="160"/>
      <c r="F9" s="160"/>
    </row>
    <row r="10" spans="1:6">
      <c r="C10" s="160"/>
      <c r="E10" s="160"/>
      <c r="F10" s="160"/>
    </row>
    <row r="11" spans="1:6">
      <c r="C11" s="160"/>
      <c r="E11" s="160"/>
      <c r="F11" s="160"/>
    </row>
    <row r="12" spans="1:6">
      <c r="C12" s="160"/>
      <c r="E12" s="160"/>
      <c r="F12" s="160"/>
    </row>
    <row r="13" spans="1:6">
      <c r="C13" s="160"/>
      <c r="E13" s="160"/>
      <c r="F13" s="160"/>
    </row>
    <row r="14" spans="1:6">
      <c r="C14" s="160"/>
      <c r="E14" s="160"/>
      <c r="F14" s="160"/>
    </row>
    <row r="15" spans="1:6">
      <c r="C15" s="160"/>
      <c r="E15" s="160"/>
      <c r="F15" s="160"/>
    </row>
    <row r="16" spans="1:6">
      <c r="B16">
        <v>3.6</v>
      </c>
      <c r="C16" s="160" t="s">
        <v>271</v>
      </c>
      <c r="E16" s="160"/>
      <c r="F16" s="160"/>
    </row>
    <row r="17" spans="2:9">
      <c r="C17" s="160"/>
      <c r="E17" s="160"/>
      <c r="F17" s="160"/>
    </row>
    <row r="18" spans="2:9">
      <c r="C18" s="160"/>
      <c r="E18" s="160"/>
      <c r="F18" s="160"/>
    </row>
    <row r="19" spans="2:9">
      <c r="C19" s="160"/>
      <c r="E19" s="160"/>
      <c r="F19" s="160"/>
      <c r="H19" s="162" t="s">
        <v>526</v>
      </c>
    </row>
    <row r="20" spans="2:9">
      <c r="C20" s="160"/>
      <c r="E20" s="160"/>
      <c r="F20" s="160"/>
      <c r="H20" t="s">
        <v>271</v>
      </c>
      <c r="I20" t="s">
        <v>534</v>
      </c>
    </row>
    <row r="21" spans="2:9">
      <c r="C21" s="160"/>
      <c r="E21" s="160" t="s">
        <v>537</v>
      </c>
      <c r="F21" s="160"/>
    </row>
    <row r="22" spans="2:9">
      <c r="C22" s="160"/>
      <c r="E22" s="160"/>
      <c r="F22" s="160"/>
      <c r="H22" t="s">
        <v>535</v>
      </c>
      <c r="I22" t="s">
        <v>536</v>
      </c>
    </row>
    <row r="23" spans="2:9">
      <c r="C23" s="160"/>
      <c r="E23" s="160"/>
      <c r="F23" s="160"/>
      <c r="H23" t="s">
        <v>532</v>
      </c>
      <c r="I23" t="s">
        <v>533</v>
      </c>
    </row>
    <row r="24" spans="2:9">
      <c r="C24" s="160"/>
      <c r="E24" s="160"/>
      <c r="F24" s="160"/>
    </row>
    <row r="25" spans="2:9">
      <c r="C25" s="160"/>
      <c r="E25" s="160"/>
      <c r="F25" s="160"/>
    </row>
    <row r="26" spans="2:9">
      <c r="C26" s="53"/>
      <c r="E26" s="160"/>
      <c r="F26" s="160"/>
    </row>
    <row r="27" spans="2:9">
      <c r="B27">
        <v>0</v>
      </c>
      <c r="C27" s="38" t="s">
        <v>538</v>
      </c>
      <c r="E27" s="160"/>
      <c r="F27" s="160"/>
    </row>
    <row r="28" spans="2:9">
      <c r="B28">
        <v>0.3</v>
      </c>
      <c r="C28" s="38" t="s">
        <v>539</v>
      </c>
      <c r="E28" s="53"/>
      <c r="F28" s="160" t="s">
        <v>540</v>
      </c>
    </row>
    <row r="29" spans="2:9">
      <c r="C29" s="159"/>
      <c r="E29" s="159"/>
      <c r="F29" s="160"/>
    </row>
    <row r="30" spans="2:9">
      <c r="C30" s="160"/>
      <c r="E30" s="160"/>
      <c r="F30" s="160"/>
    </row>
    <row r="31" spans="2:9">
      <c r="C31" s="160"/>
      <c r="E31" s="160"/>
      <c r="F31" s="160"/>
    </row>
    <row r="32" spans="2:9">
      <c r="C32" s="160"/>
      <c r="E32" s="160"/>
      <c r="F32" s="160"/>
    </row>
    <row r="33" spans="1:6">
      <c r="B33">
        <v>1.25</v>
      </c>
      <c r="C33" s="160" t="s">
        <v>541</v>
      </c>
      <c r="E33" s="160"/>
      <c r="F33" s="160"/>
    </row>
    <row r="34" spans="1:6">
      <c r="C34" s="160"/>
      <c r="E34" s="160"/>
      <c r="F34" s="160"/>
    </row>
    <row r="35" spans="1:6">
      <c r="C35" s="160"/>
      <c r="E35" s="160"/>
      <c r="F35" s="160"/>
    </row>
    <row r="36" spans="1:6">
      <c r="C36" s="53"/>
      <c r="E36" s="160"/>
      <c r="F36" s="160"/>
    </row>
    <row r="37" spans="1:6">
      <c r="B37">
        <v>0</v>
      </c>
      <c r="C37" s="161" t="s">
        <v>542</v>
      </c>
      <c r="E37" s="160"/>
      <c r="F37" s="160"/>
    </row>
    <row r="38" spans="1:6">
      <c r="C38" s="159"/>
      <c r="E38" s="160" t="s">
        <v>543</v>
      </c>
      <c r="F38" s="160"/>
    </row>
    <row r="39" spans="1:6">
      <c r="B39">
        <v>0.6</v>
      </c>
      <c r="C39" s="160" t="s">
        <v>544</v>
      </c>
      <c r="E39" s="160"/>
      <c r="F39" s="160"/>
    </row>
    <row r="40" spans="1:6">
      <c r="C40" s="53"/>
      <c r="E40" s="160"/>
      <c r="F40" s="160"/>
    </row>
    <row r="41" spans="1:6">
      <c r="B41">
        <v>0.25</v>
      </c>
      <c r="C41" s="38" t="s">
        <v>545</v>
      </c>
      <c r="E41" s="160"/>
      <c r="F41" s="160"/>
    </row>
    <row r="42" spans="1:6">
      <c r="B42" s="183">
        <v>0</v>
      </c>
      <c r="C42" s="38" t="s">
        <v>546</v>
      </c>
      <c r="E42" s="53"/>
      <c r="F42" s="53"/>
    </row>
    <row r="43" spans="1:6">
      <c r="A43" t="s">
        <v>575</v>
      </c>
      <c r="B43" s="190">
        <f>SUM(B6:B42)</f>
        <v>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showGridLines="0" zoomScale="85" zoomScaleNormal="85" workbookViewId="0">
      <selection activeCell="A2" sqref="A2:D6"/>
    </sheetView>
  </sheetViews>
  <sheetFormatPr baseColWidth="10" defaultRowHeight="12.75"/>
  <cols>
    <col min="1" max="1" width="6.85546875" bestFit="1" customWidth="1"/>
    <col min="2" max="2" width="5.85546875" customWidth="1"/>
    <col min="3" max="3" width="5.7109375" bestFit="1" customWidth="1"/>
    <col min="4" max="4" width="9.28515625" customWidth="1"/>
    <col min="5" max="5" width="4.42578125" bestFit="1" customWidth="1"/>
    <col min="6" max="6" width="8.140625" bestFit="1" customWidth="1"/>
    <col min="7" max="7" width="30.85546875" bestFit="1" customWidth="1"/>
    <col min="9" max="12" width="11.42578125" style="3"/>
  </cols>
  <sheetData>
    <row r="1" spans="1:12" ht="18.75" thickBot="1">
      <c r="B1" s="16"/>
      <c r="C1" s="16"/>
      <c r="D1" s="16"/>
      <c r="G1" s="21" t="s">
        <v>59</v>
      </c>
    </row>
    <row r="2" spans="1:12" ht="16.5" customHeight="1" thickBot="1">
      <c r="A2" s="18"/>
      <c r="B2" s="251" t="s">
        <v>401</v>
      </c>
      <c r="C2" s="252"/>
      <c r="D2" s="17" t="s">
        <v>421</v>
      </c>
    </row>
    <row r="3" spans="1:12" ht="16.5" thickBot="1">
      <c r="A3" s="20"/>
      <c r="B3" s="253"/>
      <c r="C3" s="254"/>
      <c r="D3" s="17" t="s">
        <v>407</v>
      </c>
    </row>
    <row r="4" spans="1:12" ht="15" customHeight="1" thickBot="1">
      <c r="A4" s="146" t="s">
        <v>420</v>
      </c>
      <c r="B4" s="147"/>
      <c r="C4" s="245" t="s">
        <v>424</v>
      </c>
      <c r="D4" s="148" t="s">
        <v>422</v>
      </c>
    </row>
    <row r="5" spans="1:12" ht="16.5" thickBot="1">
      <c r="A5" s="20"/>
      <c r="B5" s="146" t="s">
        <v>403</v>
      </c>
      <c r="C5" s="247"/>
      <c r="D5" s="17" t="s">
        <v>423</v>
      </c>
    </row>
    <row r="6" spans="1:12" ht="32.25" customHeight="1" thickBot="1">
      <c r="A6" s="19"/>
      <c r="B6" s="46"/>
      <c r="C6" s="249" t="s">
        <v>425</v>
      </c>
      <c r="D6" s="250"/>
    </row>
    <row r="8" spans="1:12" ht="13.5" thickBot="1"/>
    <row r="9" spans="1:12" ht="13.5" thickBot="1">
      <c r="E9" s="23"/>
      <c r="F9" s="17" t="s">
        <v>62</v>
      </c>
      <c r="G9" t="s">
        <v>64</v>
      </c>
      <c r="H9" s="62" t="s">
        <v>69</v>
      </c>
      <c r="I9" s="57" t="s">
        <v>61</v>
      </c>
      <c r="J9" s="47" t="s">
        <v>68</v>
      </c>
      <c r="K9" s="47" t="s">
        <v>60</v>
      </c>
      <c r="L9" s="48" t="s">
        <v>67</v>
      </c>
    </row>
    <row r="10" spans="1:12" ht="13.5" thickBot="1">
      <c r="E10" s="26" t="s">
        <v>61</v>
      </c>
      <c r="F10" s="17" t="s">
        <v>60</v>
      </c>
      <c r="G10" t="s">
        <v>65</v>
      </c>
      <c r="H10" s="63"/>
      <c r="I10" s="58" t="s">
        <v>73</v>
      </c>
      <c r="J10" s="55" t="s">
        <v>73</v>
      </c>
      <c r="K10" s="55" t="s">
        <v>73</v>
      </c>
      <c r="L10" s="56" t="s">
        <v>73</v>
      </c>
    </row>
    <row r="11" spans="1:12" ht="13.5" thickBot="1">
      <c r="E11" s="25"/>
      <c r="F11" s="17" t="s">
        <v>63</v>
      </c>
      <c r="G11" t="s">
        <v>66</v>
      </c>
      <c r="H11" s="64" t="s">
        <v>70</v>
      </c>
      <c r="I11" s="59">
        <v>3.7</v>
      </c>
      <c r="J11" s="53">
        <v>1.5</v>
      </c>
      <c r="K11" s="53">
        <v>2.2000000000000002</v>
      </c>
      <c r="L11" s="54">
        <v>0</v>
      </c>
    </row>
    <row r="12" spans="1:12">
      <c r="H12" s="65" t="s">
        <v>71</v>
      </c>
      <c r="I12" s="60">
        <v>9.6</v>
      </c>
      <c r="J12" s="38">
        <v>1.2</v>
      </c>
      <c r="K12" s="38">
        <v>0.6</v>
      </c>
      <c r="L12" s="49">
        <v>7.8</v>
      </c>
    </row>
    <row r="13" spans="1:12">
      <c r="H13" s="65" t="s">
        <v>72</v>
      </c>
      <c r="I13" s="60">
        <v>3.3</v>
      </c>
      <c r="J13" s="38">
        <v>1.5</v>
      </c>
      <c r="K13" s="38">
        <v>0.1</v>
      </c>
      <c r="L13" s="49">
        <v>1.7</v>
      </c>
    </row>
    <row r="14" spans="1:12" ht="13.5" thickBot="1">
      <c r="H14" s="63" t="s">
        <v>74</v>
      </c>
      <c r="I14" s="61">
        <f>J14+K14+L14</f>
        <v>5.8</v>
      </c>
      <c r="J14" s="51">
        <v>1.3</v>
      </c>
      <c r="K14" s="50">
        <v>2</v>
      </c>
      <c r="L14" s="52">
        <v>2.5</v>
      </c>
    </row>
  </sheetData>
  <mergeCells count="3">
    <mergeCell ref="C6:D6"/>
    <mergeCell ref="B2:C3"/>
    <mergeCell ref="C4:C5"/>
  </mergeCells>
  <phoneticPr fontId="0" type="noConversion"/>
  <printOptions gridLinesSet="0"/>
  <pageMargins left="0.78740157499999996" right="0.78740157499999996" top="0.984251969" bottom="0.984251969" header="0.4921259845" footer="0.4921259845"/>
  <pageSetup orientation="portrait" horizontalDpi="4294967292" r:id="rId1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>
      <selection activeCell="A28" sqref="A28"/>
    </sheetView>
  </sheetViews>
  <sheetFormatPr baseColWidth="10" defaultRowHeight="12.75"/>
  <cols>
    <col min="2" max="2" width="11.42578125" style="3"/>
    <col min="3" max="3" width="48.5703125" customWidth="1"/>
  </cols>
  <sheetData>
    <row r="1" spans="1:3">
      <c r="A1" t="s">
        <v>353</v>
      </c>
    </row>
    <row r="2" spans="1:3">
      <c r="A2" t="s">
        <v>352</v>
      </c>
    </row>
    <row r="3" spans="1:3">
      <c r="A3" t="s">
        <v>356</v>
      </c>
    </row>
    <row r="4" spans="1:3">
      <c r="A4" s="131">
        <v>36474</v>
      </c>
    </row>
    <row r="5" spans="1:3">
      <c r="A5" t="s">
        <v>357</v>
      </c>
    </row>
    <row r="8" spans="1:3">
      <c r="A8" s="132" t="s">
        <v>355</v>
      </c>
      <c r="B8" s="132" t="s">
        <v>358</v>
      </c>
      <c r="C8" s="133" t="s">
        <v>374</v>
      </c>
    </row>
    <row r="9" spans="1:3">
      <c r="A9" s="72"/>
      <c r="B9" s="72"/>
      <c r="C9" s="4"/>
    </row>
    <row r="10" spans="1:3">
      <c r="A10" s="72" t="s">
        <v>359</v>
      </c>
      <c r="B10" s="72" t="s">
        <v>359</v>
      </c>
      <c r="C10" s="4" t="s">
        <v>373</v>
      </c>
    </row>
    <row r="11" spans="1:3">
      <c r="A11" s="72"/>
      <c r="B11" s="72"/>
      <c r="C11" s="4"/>
    </row>
    <row r="12" spans="1:3">
      <c r="A12" s="72" t="s">
        <v>360</v>
      </c>
      <c r="B12" s="72" t="s">
        <v>360</v>
      </c>
      <c r="C12" s="4" t="s">
        <v>375</v>
      </c>
    </row>
    <row r="13" spans="1:3">
      <c r="A13" s="72"/>
      <c r="B13" s="72"/>
      <c r="C13" s="4"/>
    </row>
    <row r="14" spans="1:3">
      <c r="A14" s="72" t="s">
        <v>361</v>
      </c>
      <c r="B14" s="72" t="s">
        <v>364</v>
      </c>
      <c r="C14" s="4" t="s">
        <v>376</v>
      </c>
    </row>
    <row r="15" spans="1:3">
      <c r="A15" s="72"/>
      <c r="B15" s="72"/>
      <c r="C15" s="4"/>
    </row>
    <row r="16" spans="1:3">
      <c r="A16" s="72"/>
      <c r="B16" s="72"/>
      <c r="C16" s="4"/>
    </row>
    <row r="17" spans="1:3">
      <c r="A17" s="72" t="s">
        <v>354</v>
      </c>
      <c r="B17" s="72" t="s">
        <v>354</v>
      </c>
      <c r="C17" s="4" t="s">
        <v>377</v>
      </c>
    </row>
    <row r="18" spans="1:3">
      <c r="A18" s="72"/>
      <c r="B18" s="72"/>
      <c r="C18" s="4"/>
    </row>
    <row r="19" spans="1:3">
      <c r="A19" s="72" t="s">
        <v>362</v>
      </c>
      <c r="B19" s="72" t="s">
        <v>365</v>
      </c>
      <c r="C19" s="4" t="s">
        <v>378</v>
      </c>
    </row>
    <row r="20" spans="1:3">
      <c r="A20" s="72"/>
      <c r="B20" s="72"/>
      <c r="C20" s="4"/>
    </row>
    <row r="21" spans="1:3">
      <c r="A21" s="3" t="s">
        <v>370</v>
      </c>
      <c r="B21" s="3" t="s">
        <v>367</v>
      </c>
      <c r="C21" s="4" t="s">
        <v>379</v>
      </c>
    </row>
    <row r="22" spans="1:3">
      <c r="A22" s="3"/>
      <c r="C22" s="4"/>
    </row>
    <row r="23" spans="1:3">
      <c r="A23" s="72" t="s">
        <v>371</v>
      </c>
      <c r="B23" s="72" t="s">
        <v>368</v>
      </c>
      <c r="C23" s="4" t="s">
        <v>380</v>
      </c>
    </row>
    <row r="24" spans="1:3">
      <c r="A24" s="72"/>
      <c r="B24" s="72"/>
      <c r="C24" s="4"/>
    </row>
    <row r="25" spans="1:3">
      <c r="A25" s="72" t="s">
        <v>369</v>
      </c>
      <c r="B25" s="72" t="s">
        <v>366</v>
      </c>
      <c r="C25" s="4" t="s">
        <v>381</v>
      </c>
    </row>
    <row r="26" spans="1:3">
      <c r="A26" s="72"/>
      <c r="B26" s="72"/>
      <c r="C26" s="4"/>
    </row>
    <row r="27" spans="1:3">
      <c r="A27" s="72" t="s">
        <v>363</v>
      </c>
      <c r="B27" s="72" t="s">
        <v>363</v>
      </c>
      <c r="C27" s="4" t="s">
        <v>372</v>
      </c>
    </row>
    <row r="28" spans="1:3">
      <c r="A28" s="72"/>
      <c r="B28" s="72"/>
      <c r="C28" s="4"/>
    </row>
    <row r="29" spans="1:3">
      <c r="A29" s="4"/>
      <c r="B29" s="16"/>
      <c r="C29" s="4"/>
    </row>
    <row r="30" spans="1:3">
      <c r="A30" s="4"/>
      <c r="B30" s="16"/>
      <c r="C30" s="4"/>
    </row>
  </sheetData>
  <phoneticPr fontId="0" type="noConversion"/>
  <printOptions gridLines="1" gridLinesSet="0"/>
  <pageMargins left="0.78740157499999996" right="0.78740157499999996" top="0.984251969" bottom="0.984251969" header="0.4921259845" footer="0.4921259845"/>
  <pageSetup orientation="portrait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15</vt:i4>
      </vt:variant>
      <vt:variant>
        <vt:lpstr>Plages nommées</vt:lpstr>
      </vt:variant>
      <vt:variant>
        <vt:i4>7</vt:i4>
      </vt:variant>
    </vt:vector>
  </HeadingPairs>
  <TitlesOfParts>
    <vt:vector size="22" baseType="lpstr">
      <vt:lpstr>SYMBOLES1</vt:lpstr>
      <vt:lpstr>Matières</vt:lpstr>
      <vt:lpstr>DCO;DBO;P;N</vt:lpstr>
      <vt:lpstr>CoeffStoech</vt:lpstr>
      <vt:lpstr>MatSymboles</vt:lpstr>
      <vt:lpstr>MatVal2015</vt:lpstr>
      <vt:lpstr>MatVal2003</vt:lpstr>
      <vt:lpstr>Valeurs</vt:lpstr>
      <vt:lpstr>Symboles</vt:lpstr>
      <vt:lpstr>Liste Symboles</vt:lpstr>
      <vt:lpstr>SymbAlphaBeta</vt:lpstr>
      <vt:lpstr>N-ASM2d</vt:lpstr>
      <vt:lpstr>P-ASM2d</vt:lpstr>
      <vt:lpstr>Pvaleurs</vt:lpstr>
      <vt:lpstr>DCO-ASM2d</vt:lpstr>
      <vt:lpstr>'Liste Symboles'!Impression_des_titres</vt:lpstr>
      <vt:lpstr>SymbAlphaBeta!Impression_des_titres</vt:lpstr>
      <vt:lpstr>SYMBOLES1!Impression_des_titres</vt:lpstr>
      <vt:lpstr>'DCO;DBO;P;N'!Zone_d_impression</vt:lpstr>
      <vt:lpstr>'Liste Symboles'!Zone_d_impression</vt:lpstr>
      <vt:lpstr>Matières!Zone_d_impression</vt:lpstr>
      <vt:lpstr>SymbAlphaBeta!Zone_d_impression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Yves Comeau</cp:lastModifiedBy>
  <cp:lastPrinted>2017-09-12T12:02:07Z</cp:lastPrinted>
  <dcterms:created xsi:type="dcterms:W3CDTF">2012-09-07T22:01:17Z</dcterms:created>
  <dcterms:modified xsi:type="dcterms:W3CDTF">2017-09-12T21:37:51Z</dcterms:modified>
</cp:coreProperties>
</file>